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"/>
    </mc:Choice>
  </mc:AlternateContent>
  <xr:revisionPtr revIDLastSave="0" documentId="13_ncr:1_{46026DB9-06E0-45BB-A55B-B0DD34B9CCFE}" xr6:coauthVersionLast="47" xr6:coauthVersionMax="47" xr10:uidLastSave="{00000000-0000-0000-0000-000000000000}"/>
  <bookViews>
    <workbookView xWindow="-120" yWindow="-120" windowWidth="38640" windowHeight="21120" activeTab="7" xr2:uid="{E8351862-8131-4AC1-82A9-213539580791}"/>
  </bookViews>
  <sheets>
    <sheet name="SGT Descriptors" sheetId="2" r:id="rId1"/>
    <sheet name="Nodes-Edges" sheetId="3" r:id="rId2"/>
    <sheet name="Nodes-Degree" sheetId="4" r:id="rId3"/>
    <sheet name="Nodes-Diameter" sheetId="5" r:id="rId4"/>
    <sheet name="Nodes-G. Density" sheetId="11" r:id="rId5"/>
    <sheet name="Nodes-Avg. Btwn. C" sheetId="10" r:id="rId6"/>
    <sheet name="Nodes-Avg. EigVec. C." sheetId="13" r:id="rId7"/>
    <sheet name="Nodes-Avg. Close. C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9" i="2"/>
  <c r="H30" i="2"/>
  <c r="H31" i="2"/>
  <c r="H32" i="2"/>
  <c r="H33" i="2"/>
  <c r="H34" i="2"/>
  <c r="G28" i="2"/>
  <c r="G29" i="2"/>
  <c r="G30" i="2"/>
  <c r="G31" i="2"/>
  <c r="G32" i="2"/>
  <c r="G33" i="2"/>
  <c r="G34" i="2"/>
  <c r="H20" i="2"/>
  <c r="H21" i="2"/>
  <c r="H22" i="2"/>
  <c r="H23" i="2"/>
  <c r="H24" i="2"/>
  <c r="H25" i="2"/>
  <c r="H26" i="2"/>
  <c r="G20" i="2"/>
  <c r="G21" i="2"/>
  <c r="G22" i="2"/>
  <c r="G23" i="2"/>
  <c r="G24" i="2"/>
  <c r="G25" i="2"/>
  <c r="G26" i="2"/>
  <c r="H12" i="2"/>
  <c r="H13" i="2"/>
  <c r="H14" i="2"/>
  <c r="H15" i="2"/>
  <c r="H16" i="2"/>
  <c r="H17" i="2"/>
  <c r="H18" i="2"/>
  <c r="G12" i="2"/>
  <c r="G13" i="2"/>
  <c r="G14" i="2"/>
  <c r="G15" i="2"/>
  <c r="G16" i="2"/>
  <c r="G17" i="2"/>
  <c r="G18" i="2"/>
  <c r="H27" i="2"/>
  <c r="G27" i="2"/>
  <c r="H19" i="2"/>
  <c r="G19" i="2"/>
  <c r="H11" i="2"/>
  <c r="G11" i="2"/>
  <c r="H4" i="2"/>
  <c r="H5" i="2"/>
  <c r="H6" i="2"/>
  <c r="H7" i="2"/>
  <c r="H8" i="2"/>
  <c r="H9" i="2"/>
  <c r="H10" i="2"/>
  <c r="H3" i="2"/>
  <c r="G4" i="2"/>
  <c r="G5" i="2"/>
  <c r="G6" i="2"/>
  <c r="G7" i="2"/>
  <c r="G8" i="2"/>
  <c r="G9" i="2"/>
  <c r="G10" i="2"/>
  <c r="G3" i="2"/>
</calcChain>
</file>

<file path=xl/sharedStrings.xml><?xml version="1.0" encoding="utf-8"?>
<sst xmlns="http://schemas.openxmlformats.org/spreadsheetml/2006/main" count="422" uniqueCount="34">
  <si>
    <t>CC</t>
  </si>
  <si>
    <t>BC</t>
  </si>
  <si>
    <t>GD</t>
  </si>
  <si>
    <t>BSE 017</t>
  </si>
  <si>
    <t>BSE 025</t>
  </si>
  <si>
    <t>BSE 024</t>
  </si>
  <si>
    <t>BSE 011</t>
  </si>
  <si>
    <t>Std. Dev.</t>
  </si>
  <si>
    <t>Nodes</t>
  </si>
  <si>
    <t>Edges</t>
  </si>
  <si>
    <t>EC</t>
  </si>
  <si>
    <t>ANC: Average Node Connectivity</t>
  </si>
  <si>
    <t>CC: Avg. Closessness Centrality</t>
  </si>
  <si>
    <t>EC: Avg. Eigenvector Centrality</t>
  </si>
  <si>
    <t>BC: Avg. Betweenness Centrality</t>
  </si>
  <si>
    <t>GD: Graph Density</t>
  </si>
  <si>
    <t>Value-1</t>
  </si>
  <si>
    <t>Value-2</t>
  </si>
  <si>
    <t>Value-3</t>
  </si>
  <si>
    <t>Value-4</t>
  </si>
  <si>
    <t>Diameter</t>
  </si>
  <si>
    <t>Avg.</t>
  </si>
  <si>
    <t>Parameter</t>
  </si>
  <si>
    <t>Material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</si>
  <si>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</si>
  <si>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</si>
  <si>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</si>
  <si>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</si>
  <si>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</si>
  <si>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</si>
  <si>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</si>
  <si>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</si>
  <si>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AD: Average Node Degree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</si>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</sst>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rgb="FF3C7D22"/>
      <name val="Aptos Narrow"/>
      <family val="2"/>
      <scheme val="minor"/>
    </font>
    <font>
      <b/>
      <sz val="11"/>
      <color rgb="FF78217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0070C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6" fillId="0" borderId="0" xfId="0" applyFont="1"/>
    <xf numFmtId="0" fontId="27" fillId="0" borderId="1" xfId="0" applyFont="1" applyBorder="1" applyAlignment="1">
      <alignment horizontal="center" vertical="top"/>
    </xf>
    <xf numFmtId="0" fontId="28" fillId="0" borderId="2" xfId="0" applyFont="1" applyBorder="1" applyAlignment="1">
      <alignment horizontal="center" vertical="top"/>
    </xf>
    <xf numFmtId="0" fontId="28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2170"/>
      <color rgb="FF3C7D22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'SGT Descriptors'!$A$27</c:f>
              <c:strCache>
                <c:ptCount val="1"/>
                <c:pt idx="0">
                  <c:v>BSE 011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Descriptors'!$G$27:$G$34</c:f>
              <c:numCache>
                <c:formatCode>General</c:formatCode>
                <c:ptCount val="8"/>
                <c:pt idx="0">
                  <c:v>7452.5</c:v>
                </c:pt>
                <c:pt idx="1">
                  <c:v>13942.5</c:v>
                </c:pt>
                <c:pt idx="2">
                  <c:v>3.7417024999999997</c:v>
                </c:pt>
                <c:pt idx="3">
                  <c:v>98.75</c:v>
                </c:pt>
                <c:pt idx="4">
                  <c:v>5.0000000000000001E-4</c:v>
                </c:pt>
                <c:pt idx="5">
                  <c:v>4.9300000000000004E-3</c:v>
                </c:pt>
                <c:pt idx="6">
                  <c:v>9.0249999999999987E-4</c:v>
                </c:pt>
                <c:pt idx="7">
                  <c:v>2.7202499999999998E-2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5B0-9940-AC4B-8A5DFFF484A2}"/>
            </c:ext>
          </c:extLst>
        </c:ser>
        <c:ser>
          <c:idx val="4"/>
          <c:order val="1"/>
          <c:tx>
            <c:strRef>
              <c:f>'SGT Descriptors'!$A$3</c:f>
              <c:strCache>
                <c:ptCount val="1"/>
                <c:pt idx="0">
                  <c:v>BSE 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Descriptors'!$G$3:$G$10</c:f>
              <c:numCache>
                <c:formatCode>General</c:formatCode>
                <c:ptCount val="8"/>
                <c:pt idx="0">
                  <c:v>7777</c:v>
                </c:pt>
                <c:pt idx="1">
                  <c:v>13819.5</c:v>
                </c:pt>
                <c:pt idx="2">
                  <c:v>3.5539375</c:v>
                </c:pt>
                <c:pt idx="3">
                  <c:v>113.5</c:v>
                </c:pt>
                <c:pt idx="4">
                  <c:v>4.6000000000000001E-4</c:v>
                </c:pt>
                <c:pt idx="5">
                  <c:v>5.1875000000000003E-3</c:v>
                </c:pt>
                <c:pt idx="6">
                  <c:v>1.3500000000000001E-3</c:v>
                </c:pt>
                <c:pt idx="7">
                  <c:v>2.4805000000000001E-2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5B0-9940-AC4B-8A5DFFF484A2}"/>
            </c:ext>
          </c:extLst>
        </c:ser>
        <c:ser>
          <c:idx val="5"/>
          <c:order val="2"/>
          <c:tx>
            <c:strRef>
              <c:f>'SGT Descriptors'!$A$19</c:f>
              <c:strCache>
                <c:ptCount val="1"/>
                <c:pt idx="0">
                  <c:v>BSE 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Descriptors'!$G$19:$G$26</c:f>
              <c:numCache>
                <c:formatCode>General</c:formatCode>
                <c:ptCount val="8"/>
                <c:pt idx="0">
                  <c:v>7763.5</c:v>
                </c:pt>
                <c:pt idx="1">
                  <c:v>13755.5</c:v>
                </c:pt>
                <c:pt idx="2">
                  <c:v>3.5436299999999998</c:v>
                </c:pt>
                <c:pt idx="3">
                  <c:v>113.75</c:v>
                </c:pt>
                <c:pt idx="4">
                  <c:v>4.6000000000000001E-4</c:v>
                </c:pt>
                <c:pt idx="5">
                  <c:v>5.2824999999999999E-3</c:v>
                </c:pt>
                <c:pt idx="6">
                  <c:v>1.2700000000000001E-3</c:v>
                </c:pt>
                <c:pt idx="7">
                  <c:v>2.443E-2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5B0-9940-AC4B-8A5DFFF484A2}"/>
            </c:ext>
          </c:extLst>
        </c:ser>
        <c:ser>
          <c:idx val="6"/>
          <c:order val="3"/>
          <c:tx>
            <c:strRef>
              <c:f>'SGT Descriptors'!$A$11</c:f>
              <c:strCache>
                <c:ptCount val="1"/>
                <c:pt idx="0">
                  <c:v>BSE 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Descriptors'!$G$11:$G$18</c:f>
              <c:numCache>
                <c:formatCode>General</c:formatCode>
                <c:ptCount val="8"/>
                <c:pt idx="0">
                  <c:v>7341</c:v>
                </c:pt>
                <c:pt idx="1">
                  <c:v>12044</c:v>
                </c:pt>
                <c:pt idx="2">
                  <c:v>3.2812999999999999</c:v>
                </c:pt>
                <c:pt idx="3">
                  <c:v>117.25</c:v>
                </c:pt>
                <c:pt idx="4">
                  <c:v>4.4999999999999999E-4</c:v>
                </c:pt>
                <c:pt idx="5">
                  <c:v>5.8725000000000001E-3</c:v>
                </c:pt>
                <c:pt idx="6">
                  <c:v>8.7000000000000011E-4</c:v>
                </c:pt>
                <c:pt idx="7">
                  <c:v>2.3247500000000001E-2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5B0-9940-AC4B-8A5DFFF4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 InL Material (x250)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8"/>
          <c:order val="0"/>
          <c:tx>
            <c:strRef>
              <c:f>'Nodes-G. Density'!$M$21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Density'!$N$21:$T$21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3BD-444F-9F1A-1C52D27022F6}"/>
            </c:ext>
          </c:extLst>
        </c:ser>
        <c:ser>
          <c:idx val="9"/>
          <c:order val="1"/>
          <c:tx>
            <c:strRef>
              <c:f>'Nodes-G. Density'!$M$22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Density'!$N$22:$T$22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3BD-444F-9F1A-1C52D27022F6}"/>
            </c:ext>
          </c:extLst>
        </c:ser>
        <c:ser>
          <c:idx val="10"/>
          <c:order val="2"/>
          <c:tx>
            <c:strRef>
              <c:f>'Nodes-G. Density'!#REF!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Density'!#REF!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D3BD-444F-9F1A-1C52D27022F6}"/>
            </c:ext>
          </c:extLst>
        </c:ser>
        <c:ser>
          <c:idx val="11"/>
          <c:order val="3"/>
          <c:tx>
            <c:strRef>
              <c:f>'Nodes-G. Density'!$M$23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Density'!$N$23:$T$23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D3BD-444F-9F1A-1C52D27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53744"/>
        <c:axId val="380754224"/>
        <c:extLst/>
      </c:radarChart>
      <c:catAx>
        <c:axId val="3807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4224"/>
        <c:crosses val="autoZero"/>
        <c:auto val="1"/>
        <c:lblAlgn val="ctr"/>
        <c:lblOffset val="100"/>
        <c:noMultiLvlLbl val="0"/>
      </c:catAx>
      <c:valAx>
        <c:axId val="3807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tx>
            <c:strRef>
              <c:f>'Nodes-G. Density'!$B$21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Density'!$C$21:$I$21</c:f>
              <c:numCache>
                <c:formatCode>General</c:formatCode>
                <c:ptCount val="7"/>
                <c:pt idx="0">
                  <c:v>4160.1000000000004</c:v>
                </c:pt>
                <c:pt idx="1">
                  <c:v>4.5812419470900876</c:v>
                </c:pt>
                <c:pt idx="2">
                  <c:v>7.8600000000000002E-4</c:v>
                </c:pt>
                <c:pt idx="3">
                  <c:v>1.632993161855456E-6</c:v>
                </c:pt>
                <c:pt idx="4">
                  <c:v>3.6191037702724662</c:v>
                </c:pt>
                <c:pt idx="5">
                  <c:v>-3.1045774539605921</c:v>
                </c:pt>
                <c:pt idx="6">
                  <c:v>-3.104675080318605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043-7F41-9CF5-6A9DC9A4370B}"/>
            </c:ext>
          </c:extLst>
        </c:ser>
        <c:ser>
          <c:idx val="3"/>
          <c:order val="1"/>
          <c:tx>
            <c:strRef>
              <c:f>'Nodes-G. Density'!$B$22</c:f>
              <c:strCache>
                <c:ptCount val="1"/>
                <c:pt idx="0">
                  <c:v>655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Density'!$C$22:$I$22</c:f>
              <c:numCache>
                <c:formatCode>General</c:formatCode>
                <c:ptCount val="7"/>
                <c:pt idx="0">
                  <c:v>5121.1000000000004</c:v>
                </c:pt>
                <c:pt idx="1">
                  <c:v>5.0032211846191874</c:v>
                </c:pt>
                <c:pt idx="2">
                  <c:v>6.3700000000000009E-4</c:v>
                </c:pt>
                <c:pt idx="3">
                  <c:v>1.527525231651951E-6</c:v>
                </c:pt>
                <c:pt idx="4">
                  <c:v>3.7093632564093162</c:v>
                </c:pt>
                <c:pt idx="5">
                  <c:v>-3.1958605676646501</c:v>
                </c:pt>
                <c:pt idx="6">
                  <c:v>-3.1933067494008651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B043-7F41-9CF5-6A9DC9A4370B}"/>
            </c:ext>
          </c:extLst>
        </c:ser>
        <c:ser>
          <c:idx val="4"/>
          <c:order val="2"/>
          <c:tx>
            <c:strRef>
              <c:f>'Nodes-G. Density'!#REF!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Density'!#REF!</c:f>
              <c:numCache>
                <c:formatCode>General</c:formatCode>
                <c:ptCount val="7"/>
                <c:pt idx="0">
                  <c:v>8165</c:v>
                </c:pt>
                <c:pt idx="1">
                  <c:v>0</c:v>
                </c:pt>
                <c:pt idx="2">
                  <c:v>4.0000000000000002E-4</c:v>
                </c:pt>
                <c:pt idx="3">
                  <c:v>0</c:v>
                </c:pt>
                <c:pt idx="4">
                  <c:v>3.9119561890726868</c:v>
                </c:pt>
                <c:pt idx="5">
                  <c:v>-3.397940008672037</c:v>
                </c:pt>
                <c:pt idx="6">
                  <c:v>-3.3922459472044051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043-7F41-9CF5-6A9DC9A4370B}"/>
            </c:ext>
          </c:extLst>
        </c:ser>
        <c:ser>
          <c:idx val="5"/>
          <c:order val="3"/>
          <c:tx>
            <c:strRef>
              <c:f>'Nodes-G. Density'!$B$23</c:f>
              <c:strCache>
                <c:ptCount val="1"/>
                <c:pt idx="0">
                  <c:v>65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Density'!$C$23:$I$23</c:f>
              <c:numCache>
                <c:formatCode>General</c:formatCode>
                <c:ptCount val="7"/>
                <c:pt idx="0">
                  <c:v>55.3</c:v>
                </c:pt>
                <c:pt idx="1">
                  <c:v>2.2313423961572751</c:v>
                </c:pt>
                <c:pt idx="2">
                  <c:v>5.7519000000000001E-2</c:v>
                </c:pt>
                <c:pt idx="3">
                  <c:v>1.824792499619249E-3</c:v>
                </c:pt>
                <c:pt idx="4">
                  <c:v>1.7427251313046981</c:v>
                </c:pt>
                <c:pt idx="5">
                  <c:v>-1.240188673012119</c:v>
                </c:pt>
                <c:pt idx="6">
                  <c:v>-1.231432449729323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043-7F41-9CF5-6A9DC9A4370B}"/>
            </c:ext>
          </c:extLst>
        </c:ser>
        <c:ser>
          <c:idx val="6"/>
          <c:order val="4"/>
          <c:tx>
            <c:strRef>
              <c:f>'Nodes-G. Density'!$B$24</c:f>
              <c:strCache>
                <c:ptCount val="1"/>
                <c:pt idx="0">
                  <c:v>130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Density'!$C$24:$I$24</c:f>
              <c:numCache>
                <c:formatCode>General</c:formatCode>
                <c:ptCount val="7"/>
                <c:pt idx="0">
                  <c:v>211.6</c:v>
                </c:pt>
                <c:pt idx="1">
                  <c:v>4.3772137256478576</c:v>
                </c:pt>
                <c:pt idx="2">
                  <c:v>1.5918000000000002E-2</c:v>
                </c:pt>
                <c:pt idx="3">
                  <c:v>3.9975770439382667E-4</c:v>
                </c:pt>
                <c:pt idx="4">
                  <c:v>2.3255156633631482</c:v>
                </c:pt>
                <c:pt idx="5">
                  <c:v>-1.7981114996340271</c:v>
                </c:pt>
                <c:pt idx="6">
                  <c:v>-1.8023937824044189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B043-7F41-9CF5-6A9DC9A4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195383</xdr:rowOff>
    </xdr:from>
    <xdr:to>
      <xdr:col>19</xdr:col>
      <xdr:colOff>156308</xdr:colOff>
      <xdr:row>36</xdr:row>
      <xdr:rowOff>146538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BACF25-5DC1-5043-AB21-04443838D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0.26525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662294"/>
          <a:ext cx="1563077" cy="8532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ND:</a:t>
          </a:r>
          <a:r>
            <a:rPr lang="en-US" sz="800"/>
            <a:t> Avg.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Avg. Closessness Centrality</a:t>
          </a:r>
          <a:endParaRPr lang="en-US" sz="800"/>
        </a:p>
        <a:p xmlns:a="http://schemas.openxmlformats.org/drawingml/2006/main">
          <a:r>
            <a:rPr lang="en-US" sz="800"/>
            <a:t>BC: Avg. Betweenness Centrality</a:t>
          </a:r>
        </a:p>
        <a:p xmlns:a="http://schemas.openxmlformats.org/drawingml/2006/main">
          <a:r>
            <a:rPr lang="en-US" sz="800"/>
            <a:t>EC: Avg. Eigenvector Centrality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72</xdr:row>
      <xdr:rowOff>0</xdr:rowOff>
    </xdr:from>
    <xdr:to>
      <xdr:col>19</xdr:col>
      <xdr:colOff>647700</xdr:colOff>
      <xdr:row>90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3F225E-C76C-E540-8C0D-85D67C475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8</xdr:col>
      <xdr:colOff>25400</xdr:colOff>
      <xdr:row>90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64FE1-D744-E34A-9D50-AD290B1A1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0.00069</cdr:x>
      <cdr:y>0.74074</cdr:y>
    </cdr:from>
    <cdr:to>
      <cdr:x>0.22454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3F6AFD-F668-ABA4-6557-64F2880D3E33}"/>
            </a:ext>
          </a:extLst>
        </cdr:cNvPr>
        <cdr:cNvSpPr txBox="1"/>
      </cdr:nvSpPr>
      <cdr:spPr>
        <a:xfrm xmlns:a="http://schemas.openxmlformats.org/drawingml/2006/main">
          <a:off x="3175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0.22385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1606-6F01-4D2D-8971-65E27527CE3F}">
  <dimension ref="A2:T34"/>
  <sheetViews>
    <sheetView topLeftCell="A17" zoomScale="150" zoomScaleNormal="150" workbookViewId="0">
      <selection activeCell="H25" sqref="H25"/>
    </sheetView>
  </sheetViews>
  <sheetFormatPr defaultColWidth="8.85546875" defaultRowHeight="15" x14ac:dyDescent="0.25"/>
  <cols>
    <col min="2" max="2" width="13.140625" customWidth="1"/>
    <col min="7" max="7" width="8.85546875" style="23"/>
    <col min="8" max="8" width="8.85546875" style="8"/>
  </cols>
  <sheetData>
    <row r="2" spans="1:20" s="21" customFormat="1" x14ac:dyDescent="0.25">
      <c r="A2" s="21" t="s">
        <v>23</v>
      </c>
      <c r="B2" s="21" t="s">
        <v>22</v>
      </c>
      <c r="C2" s="21" t="s">
        <v>16</v>
      </c>
      <c r="D2" s="21" t="s">
        <v>17</v>
      </c>
      <c r="E2" s="21" t="s">
        <v>18</v>
      </c>
      <c r="F2" s="21" t="s">
        <v>19</v>
      </c>
      <c r="G2" s="19" t="s">
        <v>21</v>
      </c>
      <c r="H2" s="24" t="s">
        <v>7</v>
      </c>
    </row>
    <row r="3" spans="1:20" x14ac:dyDescent="0.25">
      <c r="A3" t="s">
        <v>3</v>
      </c>
      <c r="B3" s="21" t="s">
        <v>8</v>
      </c>
      <c r="C3">
        <v>7785</v>
      </c>
      <c r="D3">
        <v>7763</v>
      </c>
      <c r="E3">
        <v>7787</v>
      </c>
      <c r="F3">
        <v>7773</v>
      </c>
      <c r="G3" s="23">
        <f>AVERAGE(C3:F3)</f>
        <v>7777</v>
      </c>
      <c r="H3" s="8">
        <f>STDEV(C3:F3)</f>
        <v>11.195237082497776</v>
      </c>
      <c r="O3" t="s">
        <v>11</v>
      </c>
    </row>
    <row r="4" spans="1:20" x14ac:dyDescent="0.25">
      <c r="A4" t="s">
        <v>3</v>
      </c>
      <c r="B4" s="21" t="s">
        <v>9</v>
      </c>
      <c r="C4">
        <v>13854</v>
      </c>
      <c r="D4">
        <v>13792</v>
      </c>
      <c r="E4">
        <v>13844</v>
      </c>
      <c r="F4">
        <v>13788</v>
      </c>
      <c r="G4" s="23">
        <f t="shared" ref="G4:G10" si="0">AVERAGE(C4:F4)</f>
        <v>13819.5</v>
      </c>
      <c r="H4" s="8">
        <f t="shared" ref="H4:H10" si="1">STDEV(C4:F4)</f>
        <v>34.346275877694026</v>
      </c>
      <c r="O4" t="s">
        <v>32</v>
      </c>
    </row>
    <row r="5" spans="1:20" x14ac:dyDescent="0.25">
      <c r="A5" t="s">
        <v>3</v>
      </c>
      <c r="B5" s="21" t="s">
        <v>33</v>
      </c>
      <c r="C5">
        <v>3.5591499999999998</v>
      </c>
      <c r="D5">
        <v>3.5532699999999999</v>
      </c>
      <c r="E5">
        <v>3.5556700000000001</v>
      </c>
      <c r="F5">
        <v>3.54766</v>
      </c>
      <c r="G5" s="23">
        <f t="shared" si="0"/>
        <v>3.5539375</v>
      </c>
      <c r="H5" s="8">
        <f t="shared" si="1"/>
        <v>4.8312964098675797E-3</v>
      </c>
      <c r="O5" t="s">
        <v>12</v>
      </c>
    </row>
    <row r="6" spans="1:20" x14ac:dyDescent="0.25">
      <c r="A6" t="s">
        <v>3</v>
      </c>
      <c r="B6" s="21" t="s">
        <v>20</v>
      </c>
      <c r="C6">
        <v>111</v>
      </c>
      <c r="D6">
        <v>111</v>
      </c>
      <c r="E6">
        <v>116</v>
      </c>
      <c r="F6">
        <v>116</v>
      </c>
      <c r="G6" s="23">
        <f t="shared" si="0"/>
        <v>113.5</v>
      </c>
      <c r="H6" s="8">
        <f t="shared" si="1"/>
        <v>2.8867513459481291</v>
      </c>
      <c r="I6" s="2"/>
      <c r="N6" s="1"/>
      <c r="O6" t="s">
        <v>13</v>
      </c>
      <c r="P6" s="2"/>
      <c r="Q6" s="2"/>
      <c r="R6" s="2"/>
      <c r="S6" s="2"/>
      <c r="T6" s="2"/>
    </row>
    <row r="7" spans="1:20" x14ac:dyDescent="0.25">
      <c r="A7" t="s">
        <v>3</v>
      </c>
      <c r="B7" s="21" t="s">
        <v>2</v>
      </c>
      <c r="C7">
        <v>4.6000000000000001E-4</v>
      </c>
      <c r="D7">
        <v>4.6000000000000001E-4</v>
      </c>
      <c r="E7">
        <v>4.6000000000000001E-4</v>
      </c>
      <c r="F7">
        <v>4.6000000000000001E-4</v>
      </c>
      <c r="G7" s="23">
        <f t="shared" si="0"/>
        <v>4.6000000000000001E-4</v>
      </c>
      <c r="H7" s="8">
        <f t="shared" si="1"/>
        <v>0</v>
      </c>
      <c r="O7" s="20" t="s">
        <v>14</v>
      </c>
    </row>
    <row r="8" spans="1:20" x14ac:dyDescent="0.25">
      <c r="A8" t="s">
        <v>3</v>
      </c>
      <c r="B8" s="21" t="s">
        <v>1</v>
      </c>
      <c r="C8">
        <v>5.1799999999999997E-3</v>
      </c>
      <c r="D8">
        <v>5.1999999999999998E-3</v>
      </c>
      <c r="E8">
        <v>5.1700000000000001E-3</v>
      </c>
      <c r="F8">
        <v>5.1999999999999998E-3</v>
      </c>
      <c r="G8" s="23">
        <f t="shared" si="0"/>
        <v>5.1875000000000003E-3</v>
      </c>
      <c r="H8" s="8">
        <f t="shared" si="1"/>
        <v>1.499999999999987E-5</v>
      </c>
      <c r="O8" s="20" t="s">
        <v>15</v>
      </c>
    </row>
    <row r="9" spans="1:20" x14ac:dyDescent="0.25">
      <c r="A9" t="s">
        <v>3</v>
      </c>
      <c r="B9" s="21" t="s">
        <v>10</v>
      </c>
      <c r="C9">
        <v>1.3500000000000001E-3</v>
      </c>
      <c r="D9">
        <v>1.3500000000000001E-3</v>
      </c>
      <c r="E9">
        <v>1.3500000000000001E-3</v>
      </c>
      <c r="F9">
        <v>1.3500000000000001E-3</v>
      </c>
      <c r="G9" s="23">
        <f t="shared" si="0"/>
        <v>1.3500000000000001E-3</v>
      </c>
      <c r="H9" s="8">
        <f t="shared" si="1"/>
        <v>0</v>
      </c>
    </row>
    <row r="10" spans="1:20" x14ac:dyDescent="0.25">
      <c r="A10" t="s">
        <v>3</v>
      </c>
      <c r="B10" s="21" t="s">
        <v>0</v>
      </c>
      <c r="C10">
        <v>2.4809999999999999E-2</v>
      </c>
      <c r="D10">
        <v>2.478E-2</v>
      </c>
      <c r="E10">
        <v>2.4840000000000001E-2</v>
      </c>
      <c r="F10">
        <v>2.479E-2</v>
      </c>
      <c r="G10" s="23">
        <f t="shared" si="0"/>
        <v>2.4805000000000001E-2</v>
      </c>
      <c r="H10" s="8">
        <f t="shared" si="1"/>
        <v>2.645751311064636E-5</v>
      </c>
    </row>
    <row r="11" spans="1:20" x14ac:dyDescent="0.25">
      <c r="A11" t="s">
        <v>4</v>
      </c>
      <c r="B11" s="21" t="s">
        <v>8</v>
      </c>
      <c r="C11">
        <v>7329</v>
      </c>
      <c r="D11">
        <v>7320</v>
      </c>
      <c r="E11">
        <v>7360</v>
      </c>
      <c r="F11">
        <v>7355</v>
      </c>
      <c r="G11" s="23">
        <f>AVERAGE(C11:F11)</f>
        <v>7341</v>
      </c>
      <c r="H11" s="8">
        <f>STDEV(C11:F11)</f>
        <v>19.510680835549195</v>
      </c>
    </row>
    <row r="12" spans="1:20" x14ac:dyDescent="0.25">
      <c r="A12" t="s">
        <v>4</v>
      </c>
      <c r="B12" s="21" t="s">
        <v>9</v>
      </c>
      <c r="C12">
        <v>12000</v>
      </c>
      <c r="D12">
        <v>12036</v>
      </c>
      <c r="E12">
        <v>12052</v>
      </c>
      <c r="F12">
        <v>12088</v>
      </c>
      <c r="G12" s="23">
        <f t="shared" ref="G12:G18" si="2">AVERAGE(C12:F12)</f>
        <v>12044</v>
      </c>
      <c r="H12" s="8">
        <f t="shared" ref="H12:H18" si="3">STDEV(C12:F12)</f>
        <v>36.514837167011073</v>
      </c>
    </row>
    <row r="13" spans="1:20" x14ac:dyDescent="0.25">
      <c r="A13" t="s">
        <v>4</v>
      </c>
      <c r="B13" s="21" t="s">
        <v>33</v>
      </c>
      <c r="C13">
        <v>3.2746599999999999</v>
      </c>
      <c r="D13">
        <v>3.2885200000000001</v>
      </c>
      <c r="E13">
        <v>3.2749999999999999</v>
      </c>
      <c r="F13">
        <v>3.2870200000000001</v>
      </c>
      <c r="G13" s="23">
        <f t="shared" si="2"/>
        <v>3.2812999999999999</v>
      </c>
      <c r="H13" s="8">
        <f t="shared" si="3"/>
        <v>7.4972528302039761E-3</v>
      </c>
    </row>
    <row r="14" spans="1:20" x14ac:dyDescent="0.25">
      <c r="A14" t="s">
        <v>4</v>
      </c>
      <c r="B14" s="21" t="s">
        <v>20</v>
      </c>
      <c r="C14">
        <v>116</v>
      </c>
      <c r="D14">
        <v>119</v>
      </c>
      <c r="E14">
        <v>115</v>
      </c>
      <c r="F14">
        <v>119</v>
      </c>
      <c r="G14" s="23">
        <f t="shared" si="2"/>
        <v>117.25</v>
      </c>
      <c r="H14" s="8">
        <f t="shared" si="3"/>
        <v>2.0615528128088303</v>
      </c>
    </row>
    <row r="15" spans="1:20" x14ac:dyDescent="0.25">
      <c r="A15" t="s">
        <v>4</v>
      </c>
      <c r="B15" s="21" t="s">
        <v>2</v>
      </c>
      <c r="C15">
        <v>4.4999999999999999E-4</v>
      </c>
      <c r="D15">
        <v>4.4999999999999999E-4</v>
      </c>
      <c r="E15">
        <v>4.4999999999999999E-4</v>
      </c>
      <c r="F15">
        <v>4.4999999999999999E-4</v>
      </c>
      <c r="G15" s="23">
        <f t="shared" si="2"/>
        <v>4.4999999999999999E-4</v>
      </c>
      <c r="H15" s="8">
        <f t="shared" si="3"/>
        <v>0</v>
      </c>
    </row>
    <row r="16" spans="1:20" x14ac:dyDescent="0.25">
      <c r="A16" t="s">
        <v>4</v>
      </c>
      <c r="B16" s="21" t="s">
        <v>1</v>
      </c>
      <c r="C16">
        <v>5.8900000000000003E-3</v>
      </c>
      <c r="D16">
        <v>5.8500000000000002E-3</v>
      </c>
      <c r="E16">
        <v>5.8900000000000003E-3</v>
      </c>
      <c r="F16">
        <v>5.8599999999999998E-3</v>
      </c>
      <c r="G16" s="23">
        <f t="shared" si="2"/>
        <v>5.8725000000000001E-3</v>
      </c>
      <c r="H16" s="8">
        <f t="shared" si="3"/>
        <v>2.0615528128088444E-5</v>
      </c>
    </row>
    <row r="17" spans="1:8" x14ac:dyDescent="0.25">
      <c r="A17" t="s">
        <v>4</v>
      </c>
      <c r="B17" s="21" t="s">
        <v>10</v>
      </c>
      <c r="C17">
        <v>8.0999999999999996E-4</v>
      </c>
      <c r="D17">
        <v>9.3000000000000005E-4</v>
      </c>
      <c r="E17">
        <v>8.0999999999999996E-4</v>
      </c>
      <c r="F17">
        <v>9.3000000000000005E-4</v>
      </c>
      <c r="G17" s="23">
        <f t="shared" si="2"/>
        <v>8.7000000000000011E-4</v>
      </c>
      <c r="H17" s="8">
        <f t="shared" si="3"/>
        <v>6.9282032302755148E-5</v>
      </c>
    </row>
    <row r="18" spans="1:8" x14ac:dyDescent="0.25">
      <c r="A18" t="s">
        <v>4</v>
      </c>
      <c r="B18" s="21" t="s">
        <v>0</v>
      </c>
      <c r="C18">
        <v>2.3220000000000001E-2</v>
      </c>
      <c r="D18">
        <v>2.3380000000000001E-2</v>
      </c>
      <c r="E18">
        <v>2.3120000000000002E-2</v>
      </c>
      <c r="F18">
        <v>2.3269999999999999E-2</v>
      </c>
      <c r="G18" s="23">
        <f t="shared" si="2"/>
        <v>2.3247500000000001E-2</v>
      </c>
      <c r="H18" s="8">
        <f t="shared" si="3"/>
        <v>1.0812801055539042E-4</v>
      </c>
    </row>
    <row r="19" spans="1:8" x14ac:dyDescent="0.25">
      <c r="A19" t="s">
        <v>5</v>
      </c>
      <c r="B19" s="21" t="s">
        <v>8</v>
      </c>
      <c r="C19">
        <v>7769</v>
      </c>
      <c r="D19">
        <v>7773</v>
      </c>
      <c r="E19">
        <v>7759</v>
      </c>
      <c r="F19">
        <v>7753</v>
      </c>
      <c r="G19" s="23">
        <f>AVERAGE(C19:F19)</f>
        <v>7763.5</v>
      </c>
      <c r="H19" s="8">
        <f>STDEV(C19:F19)</f>
        <v>9.1469484893414954</v>
      </c>
    </row>
    <row r="20" spans="1:8" x14ac:dyDescent="0.25">
      <c r="A20" t="s">
        <v>5</v>
      </c>
      <c r="B20" s="21" t="s">
        <v>9</v>
      </c>
      <c r="C20">
        <v>13781</v>
      </c>
      <c r="D20">
        <v>13789</v>
      </c>
      <c r="E20">
        <v>13734</v>
      </c>
      <c r="F20">
        <v>13718</v>
      </c>
      <c r="G20" s="23">
        <f t="shared" ref="G20:G26" si="4">AVERAGE(C20:F20)</f>
        <v>13755.5</v>
      </c>
      <c r="H20" s="8">
        <f t="shared" ref="H20:H26" si="5">STDEV(C20:F20)</f>
        <v>34.837719022155667</v>
      </c>
    </row>
    <row r="21" spans="1:8" x14ac:dyDescent="0.25">
      <c r="A21" t="s">
        <v>5</v>
      </c>
      <c r="B21" s="21" t="s">
        <v>33</v>
      </c>
      <c r="C21">
        <v>3.5476899999999998</v>
      </c>
      <c r="D21">
        <v>3.54792</v>
      </c>
      <c r="E21">
        <v>3.5401500000000001</v>
      </c>
      <c r="F21">
        <v>3.5387599999999999</v>
      </c>
      <c r="G21" s="23">
        <f t="shared" si="4"/>
        <v>3.5436299999999998</v>
      </c>
      <c r="H21" s="8">
        <f t="shared" si="5"/>
        <v>4.855066082626063E-3</v>
      </c>
    </row>
    <row r="22" spans="1:8" x14ac:dyDescent="0.25">
      <c r="A22" t="s">
        <v>5</v>
      </c>
      <c r="B22" s="21" t="s">
        <v>20</v>
      </c>
      <c r="C22">
        <v>114</v>
      </c>
      <c r="D22">
        <v>113</v>
      </c>
      <c r="E22">
        <v>115</v>
      </c>
      <c r="F22">
        <v>113</v>
      </c>
      <c r="G22" s="23">
        <f t="shared" si="4"/>
        <v>113.75</v>
      </c>
      <c r="H22" s="8">
        <f t="shared" si="5"/>
        <v>0.9574271077563381</v>
      </c>
    </row>
    <row r="23" spans="1:8" x14ac:dyDescent="0.25">
      <c r="A23" t="s">
        <v>5</v>
      </c>
      <c r="B23" s="21" t="s">
        <v>2</v>
      </c>
      <c r="C23">
        <v>4.6000000000000001E-4</v>
      </c>
      <c r="D23">
        <v>4.6000000000000001E-4</v>
      </c>
      <c r="E23">
        <v>4.6000000000000001E-4</v>
      </c>
      <c r="F23">
        <v>4.6000000000000001E-4</v>
      </c>
      <c r="G23" s="23">
        <f t="shared" si="4"/>
        <v>4.6000000000000001E-4</v>
      </c>
      <c r="H23" s="8">
        <f t="shared" si="5"/>
        <v>0</v>
      </c>
    </row>
    <row r="24" spans="1:8" x14ac:dyDescent="0.25">
      <c r="A24" t="s">
        <v>5</v>
      </c>
      <c r="B24" s="21" t="s">
        <v>1</v>
      </c>
      <c r="C24">
        <v>5.2900000000000004E-3</v>
      </c>
      <c r="D24">
        <v>5.2700000000000004E-3</v>
      </c>
      <c r="E24">
        <v>5.2900000000000004E-3</v>
      </c>
      <c r="F24">
        <v>5.28E-3</v>
      </c>
      <c r="G24" s="23">
        <f t="shared" si="4"/>
        <v>5.2824999999999999E-3</v>
      </c>
      <c r="H24" s="8">
        <f t="shared" si="5"/>
        <v>9.5742710775634437E-6</v>
      </c>
    </row>
    <row r="25" spans="1:8" x14ac:dyDescent="0.25">
      <c r="A25" t="s">
        <v>5</v>
      </c>
      <c r="B25" s="21" t="s">
        <v>10</v>
      </c>
      <c r="C25">
        <v>1.2700000000000001E-3</v>
      </c>
      <c r="D25">
        <v>1.2700000000000001E-3</v>
      </c>
      <c r="E25">
        <v>1.2700000000000001E-3</v>
      </c>
      <c r="F25">
        <v>1.2700000000000001E-3</v>
      </c>
      <c r="G25" s="23">
        <f t="shared" si="4"/>
        <v>1.2700000000000001E-3</v>
      </c>
      <c r="H25" s="8">
        <f t="shared" si="5"/>
        <v>0</v>
      </c>
    </row>
    <row r="26" spans="1:8" x14ac:dyDescent="0.25">
      <c r="A26" t="s">
        <v>5</v>
      </c>
      <c r="B26" s="21" t="s">
        <v>0</v>
      </c>
      <c r="C26">
        <v>2.4379999999999999E-2</v>
      </c>
      <c r="D26">
        <v>2.445E-2</v>
      </c>
      <c r="E26">
        <v>2.4410000000000001E-2</v>
      </c>
      <c r="F26">
        <v>2.4479999999999998E-2</v>
      </c>
      <c r="G26" s="23">
        <f t="shared" si="4"/>
        <v>2.443E-2</v>
      </c>
      <c r="H26" s="8">
        <f t="shared" si="5"/>
        <v>4.3969686527575916E-5</v>
      </c>
    </row>
    <row r="27" spans="1:8" x14ac:dyDescent="0.25">
      <c r="A27" t="s">
        <v>6</v>
      </c>
      <c r="B27" s="21" t="s">
        <v>8</v>
      </c>
      <c r="C27" s="22">
        <v>7433</v>
      </c>
      <c r="D27" s="22">
        <v>7441</v>
      </c>
      <c r="E27" s="22">
        <v>7465</v>
      </c>
      <c r="F27" s="22">
        <v>7471</v>
      </c>
      <c r="G27" s="23">
        <f>AVERAGE(C27:F27)</f>
        <v>7452.5</v>
      </c>
      <c r="H27" s="8">
        <f>STDEV(C27:F27)</f>
        <v>18.357559750685819</v>
      </c>
    </row>
    <row r="28" spans="1:8" x14ac:dyDescent="0.25">
      <c r="A28" t="s">
        <v>6</v>
      </c>
      <c r="B28" s="21" t="s">
        <v>9</v>
      </c>
      <c r="C28" s="22">
        <v>13923</v>
      </c>
      <c r="D28" s="22">
        <v>13917</v>
      </c>
      <c r="E28" s="22">
        <v>13973</v>
      </c>
      <c r="F28" s="22">
        <v>13957</v>
      </c>
      <c r="G28" s="23">
        <f t="shared" ref="G28:G34" si="6">AVERAGE(C28:F28)</f>
        <v>13942.5</v>
      </c>
      <c r="H28" s="8">
        <f t="shared" ref="H28:H34" si="7">STDEV(C28:F28)</f>
        <v>26.901053263146903</v>
      </c>
    </row>
    <row r="29" spans="1:8" x14ac:dyDescent="0.25">
      <c r="A29" t="s">
        <v>6</v>
      </c>
      <c r="B29" s="21" t="s">
        <v>33</v>
      </c>
      <c r="C29" s="22">
        <v>3.74627</v>
      </c>
      <c r="D29" s="22">
        <v>3.7406299999999999</v>
      </c>
      <c r="E29" s="22">
        <v>3.7435999999999998</v>
      </c>
      <c r="F29" s="22">
        <v>3.73631</v>
      </c>
      <c r="G29" s="23">
        <f t="shared" si="6"/>
        <v>3.7417024999999997</v>
      </c>
      <c r="H29" s="8">
        <f t="shared" si="7"/>
        <v>4.2697335982470538E-3</v>
      </c>
    </row>
    <row r="30" spans="1:8" x14ac:dyDescent="0.25">
      <c r="A30" t="s">
        <v>6</v>
      </c>
      <c r="B30" s="21" t="s">
        <v>20</v>
      </c>
      <c r="C30" s="22">
        <v>98</v>
      </c>
      <c r="D30" s="22">
        <v>99</v>
      </c>
      <c r="E30" s="22">
        <v>99</v>
      </c>
      <c r="F30" s="22">
        <v>99</v>
      </c>
      <c r="G30" s="23">
        <f t="shared" si="6"/>
        <v>98.75</v>
      </c>
      <c r="H30" s="8">
        <f t="shared" si="7"/>
        <v>0.5</v>
      </c>
    </row>
    <row r="31" spans="1:8" x14ac:dyDescent="0.25">
      <c r="A31" t="s">
        <v>6</v>
      </c>
      <c r="B31" s="21" t="s">
        <v>2</v>
      </c>
      <c r="C31" s="22">
        <v>5.0000000000000001E-4</v>
      </c>
      <c r="D31" s="22">
        <v>5.0000000000000001E-4</v>
      </c>
      <c r="E31" s="22">
        <v>5.0000000000000001E-4</v>
      </c>
      <c r="F31" s="22">
        <v>5.0000000000000001E-4</v>
      </c>
      <c r="G31" s="23">
        <f t="shared" si="6"/>
        <v>5.0000000000000001E-4</v>
      </c>
      <c r="H31" s="8">
        <f t="shared" si="7"/>
        <v>0</v>
      </c>
    </row>
    <row r="32" spans="1:8" x14ac:dyDescent="0.25">
      <c r="A32" t="s">
        <v>6</v>
      </c>
      <c r="B32" s="21" t="s">
        <v>1</v>
      </c>
      <c r="C32" s="22">
        <v>4.9399999999999999E-3</v>
      </c>
      <c r="D32" s="22">
        <v>4.9500000000000004E-3</v>
      </c>
      <c r="E32" s="22">
        <v>4.9100000000000003E-3</v>
      </c>
      <c r="F32" s="22">
        <v>4.9199999999999999E-3</v>
      </c>
      <c r="G32" s="23">
        <f t="shared" si="6"/>
        <v>4.9300000000000004E-3</v>
      </c>
      <c r="H32" s="8">
        <f t="shared" si="7"/>
        <v>1.8257418583505586E-5</v>
      </c>
    </row>
    <row r="33" spans="1:8" x14ac:dyDescent="0.25">
      <c r="A33" t="s">
        <v>6</v>
      </c>
      <c r="B33" s="21" t="s">
        <v>10</v>
      </c>
      <c r="C33" s="22">
        <v>9.1E-4</v>
      </c>
      <c r="D33" s="22">
        <v>8.9999999999999998E-4</v>
      </c>
      <c r="E33" s="22">
        <v>8.9999999999999998E-4</v>
      </c>
      <c r="F33" s="22">
        <v>8.9999999999999998E-4</v>
      </c>
      <c r="G33" s="23">
        <f t="shared" si="6"/>
        <v>9.0249999999999987E-4</v>
      </c>
      <c r="H33" s="8">
        <f t="shared" si="7"/>
        <v>5.0000000000000131E-6</v>
      </c>
    </row>
    <row r="34" spans="1:8" x14ac:dyDescent="0.25">
      <c r="A34" t="s">
        <v>6</v>
      </c>
      <c r="B34" s="21" t="s">
        <v>0</v>
      </c>
      <c r="C34" s="22">
        <v>2.7210000000000002E-2</v>
      </c>
      <c r="D34" s="22">
        <v>2.7150000000000001E-2</v>
      </c>
      <c r="E34" s="22">
        <v>2.726E-2</v>
      </c>
      <c r="F34" s="22">
        <v>2.7189999999999999E-2</v>
      </c>
      <c r="G34" s="23">
        <f t="shared" si="6"/>
        <v>2.7202499999999998E-2</v>
      </c>
      <c r="H34" s="8">
        <f t="shared" si="7"/>
        <v>4.5734742446707256E-5</v>
      </c>
    </row>
  </sheetData>
  <phoneticPr fontId="2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DEAF-E711-4AB0-9613-3030E8997E92}">
  <dimension ref="A2:K42"/>
  <sheetViews>
    <sheetView topLeftCell="A13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1.140625" style="21" customWidth="1"/>
    <col min="3" max="3" width="12.28515625" customWidth="1"/>
    <col min="4" max="5" width="13" customWidth="1"/>
    <col min="6" max="6" width="14.140625" customWidth="1"/>
    <col min="7" max="7" width="13.42578125" customWidth="1"/>
    <col min="8" max="8" width="10.85546875" customWidth="1"/>
    <col min="9" max="9" width="13" customWidth="1"/>
  </cols>
  <sheetData>
    <row r="2" spans="1:11" x14ac:dyDescent="0.25">
      <c r="A2" s="21" t="s">
        <v>23</v>
      </c>
      <c r="B2" s="26" t="s">
        <v>24</v>
      </c>
      <c r="C2" s="25" t="s">
        <v>25</v>
      </c>
      <c r="D2" s="25" t="s">
        <v>26</v>
      </c>
      <c r="E2" s="25" t="s">
        <v>27</v>
      </c>
      <c r="F2" s="25" t="s">
        <v>28</v>
      </c>
      <c r="G2" s="25" t="s">
        <v>29</v>
      </c>
      <c r="H2" s="25" t="s">
        <v>30</v>
      </c>
      <c r="I2" s="25" t="s">
        <v>31</v>
      </c>
      <c r="J2" s="1"/>
      <c r="K2" s="1"/>
    </row>
    <row r="3" spans="1:11" x14ac:dyDescent="0.25">
      <c r="A3" t="s">
        <v>3</v>
      </c>
      <c r="B3">
        <v>65</v>
      </c>
      <c r="C3">
        <v>53.9</v>
      </c>
      <c r="D3">
        <v>1.9174636024359539</v>
      </c>
      <c r="E3">
        <v>84.8</v>
      </c>
      <c r="F3">
        <v>3.5017455964450388</v>
      </c>
      <c r="G3">
        <v>1.731588765186739</v>
      </c>
      <c r="H3">
        <v>1.9283958522567139</v>
      </c>
      <c r="I3">
        <v>1.9407258214499949</v>
      </c>
    </row>
    <row r="4" spans="1:11" x14ac:dyDescent="0.25">
      <c r="A4" t="s">
        <v>3</v>
      </c>
      <c r="B4">
        <v>131</v>
      </c>
      <c r="C4">
        <v>218.7</v>
      </c>
      <c r="D4">
        <v>4.1794470660337089</v>
      </c>
      <c r="E4">
        <v>372.1</v>
      </c>
      <c r="F4">
        <v>7.5357665686894642</v>
      </c>
      <c r="G4">
        <v>2.3398487830376369</v>
      </c>
      <c r="H4">
        <v>2.5706596700215338</v>
      </c>
      <c r="I4">
        <v>2.562815299227351</v>
      </c>
    </row>
    <row r="5" spans="1:11" x14ac:dyDescent="0.25">
      <c r="A5" t="s">
        <v>3</v>
      </c>
      <c r="B5">
        <v>196</v>
      </c>
      <c r="C5">
        <v>480.2</v>
      </c>
      <c r="D5">
        <v>2.48461935381123</v>
      </c>
      <c r="E5">
        <v>822.9</v>
      </c>
      <c r="F5">
        <v>6.4557467938780464</v>
      </c>
      <c r="G5">
        <v>2.6814221557210089</v>
      </c>
      <c r="H5">
        <v>2.9153470623241922</v>
      </c>
      <c r="I5">
        <v>2.9121547178957279</v>
      </c>
    </row>
    <row r="6" spans="1:11" x14ac:dyDescent="0.25">
      <c r="A6" t="s">
        <v>3</v>
      </c>
      <c r="B6">
        <v>262</v>
      </c>
      <c r="C6">
        <v>862.5</v>
      </c>
      <c r="D6">
        <v>4.7755162606314672</v>
      </c>
      <c r="E6">
        <v>1504.5</v>
      </c>
      <c r="F6">
        <v>11.744738774825469</v>
      </c>
      <c r="G6">
        <v>2.9357591037453119</v>
      </c>
      <c r="H6">
        <v>3.1773921920760988</v>
      </c>
      <c r="I6">
        <v>3.172274295925777</v>
      </c>
    </row>
    <row r="7" spans="1:11" x14ac:dyDescent="0.25">
      <c r="A7" t="s">
        <v>3</v>
      </c>
      <c r="B7">
        <v>328</v>
      </c>
      <c r="C7">
        <v>1345.8</v>
      </c>
      <c r="D7">
        <v>5.6819402007100033</v>
      </c>
      <c r="E7">
        <v>2365.4</v>
      </c>
      <c r="F7">
        <v>11.50091783776891</v>
      </c>
      <c r="G7">
        <v>3.1289805239666109</v>
      </c>
      <c r="H7">
        <v>3.37390459247497</v>
      </c>
      <c r="I7">
        <v>3.3698888174679968</v>
      </c>
    </row>
    <row r="8" spans="1:11" x14ac:dyDescent="0.25">
      <c r="A8" t="s">
        <v>3</v>
      </c>
      <c r="B8">
        <v>393</v>
      </c>
      <c r="C8">
        <v>1950.4</v>
      </c>
      <c r="D8">
        <v>5.619806244188692</v>
      </c>
      <c r="E8">
        <v>3444.2</v>
      </c>
      <c r="F8">
        <v>12.579348154813109</v>
      </c>
      <c r="G8">
        <v>3.2901236882743068</v>
      </c>
      <c r="H8">
        <v>3.5370883624025349</v>
      </c>
      <c r="I8">
        <v>3.5346957486974269</v>
      </c>
    </row>
    <row r="9" spans="1:11" x14ac:dyDescent="0.25">
      <c r="A9" t="s">
        <v>3</v>
      </c>
      <c r="B9">
        <v>459</v>
      </c>
      <c r="C9">
        <v>2662.6</v>
      </c>
      <c r="D9">
        <v>4.9959983987187186</v>
      </c>
      <c r="E9">
        <v>4736.3999999999996</v>
      </c>
      <c r="F9">
        <v>12.070349345952391</v>
      </c>
      <c r="G9">
        <v>3.4253059276703191</v>
      </c>
      <c r="H9">
        <v>3.6754483724431402</v>
      </c>
      <c r="I9">
        <v>3.6729515048586889</v>
      </c>
    </row>
    <row r="10" spans="1:11" x14ac:dyDescent="0.25">
      <c r="A10" t="s">
        <v>3</v>
      </c>
      <c r="B10">
        <v>524</v>
      </c>
      <c r="C10">
        <v>3464.1</v>
      </c>
      <c r="D10">
        <v>4.1000000000000014</v>
      </c>
      <c r="E10">
        <v>6184.1</v>
      </c>
      <c r="F10">
        <v>11.518535786577511</v>
      </c>
      <c r="G10">
        <v>3.5395904205339161</v>
      </c>
      <c r="H10">
        <v>3.791276503726738</v>
      </c>
      <c r="I10">
        <v>3.7898343812554618</v>
      </c>
    </row>
    <row r="11" spans="1:11" x14ac:dyDescent="0.25">
      <c r="A11" t="s">
        <v>3</v>
      </c>
      <c r="B11">
        <v>590</v>
      </c>
      <c r="C11">
        <v>4413.3</v>
      </c>
      <c r="D11">
        <v>7.7172965905598483</v>
      </c>
      <c r="E11">
        <v>7860.5</v>
      </c>
      <c r="F11">
        <v>26.073081052218502</v>
      </c>
      <c r="G11">
        <v>3.644763450201828</v>
      </c>
      <c r="H11">
        <v>3.8954501720361669</v>
      </c>
      <c r="I11">
        <v>3.897398635328154</v>
      </c>
    </row>
    <row r="12" spans="1:11" x14ac:dyDescent="0.25">
      <c r="A12" t="s">
        <v>3</v>
      </c>
      <c r="B12">
        <v>656</v>
      </c>
      <c r="C12">
        <v>5475.3</v>
      </c>
      <c r="D12">
        <v>2.4857370916669539</v>
      </c>
      <c r="E12">
        <v>9784.2000000000007</v>
      </c>
      <c r="F12">
        <v>5.6111001100002156</v>
      </c>
      <c r="G12">
        <v>3.7384079198181208</v>
      </c>
      <c r="H12">
        <v>3.9905253215843031</v>
      </c>
      <c r="I12">
        <v>3.9931722148676481</v>
      </c>
    </row>
    <row r="13" spans="1:11" x14ac:dyDescent="0.25">
      <c r="A13" t="s">
        <v>4</v>
      </c>
      <c r="B13">
        <v>65</v>
      </c>
      <c r="C13">
        <v>49.5</v>
      </c>
      <c r="D13">
        <v>2.320201140705981</v>
      </c>
      <c r="E13">
        <v>71.099999999999994</v>
      </c>
      <c r="F13">
        <v>4.6198845584422701</v>
      </c>
      <c r="G13">
        <v>1.6946051989335691</v>
      </c>
      <c r="H13">
        <v>1.8518696007297659</v>
      </c>
      <c r="I13">
        <v>1.86397049175859</v>
      </c>
    </row>
    <row r="14" spans="1:11" x14ac:dyDescent="0.25">
      <c r="A14" t="s">
        <v>4</v>
      </c>
      <c r="B14">
        <v>130</v>
      </c>
      <c r="C14">
        <v>197</v>
      </c>
      <c r="D14">
        <v>2.5647178748895119</v>
      </c>
      <c r="E14">
        <v>304.89999999999998</v>
      </c>
      <c r="F14">
        <v>5.831809324729333</v>
      </c>
      <c r="G14">
        <v>2.2944662261615929</v>
      </c>
      <c r="H14">
        <v>2.4841574243653808</v>
      </c>
      <c r="I14">
        <v>2.4779284189133</v>
      </c>
    </row>
    <row r="15" spans="1:11" x14ac:dyDescent="0.25">
      <c r="A15" t="s">
        <v>4</v>
      </c>
      <c r="B15">
        <v>196</v>
      </c>
      <c r="C15">
        <v>458</v>
      </c>
      <c r="D15">
        <v>4.6785562825393994</v>
      </c>
      <c r="E15">
        <v>724.2</v>
      </c>
      <c r="F15">
        <v>11.06224811389318</v>
      </c>
      <c r="G15">
        <v>2.6608654780038692</v>
      </c>
      <c r="H15">
        <v>2.859858520480993</v>
      </c>
      <c r="I15">
        <v>2.852938154437608</v>
      </c>
    </row>
    <row r="16" spans="1:11" x14ac:dyDescent="0.25">
      <c r="A16" t="s">
        <v>4</v>
      </c>
      <c r="B16">
        <v>262</v>
      </c>
      <c r="C16">
        <v>815.1</v>
      </c>
      <c r="D16">
        <v>7.0228990531767641</v>
      </c>
      <c r="E16">
        <v>1307.4000000000001</v>
      </c>
      <c r="F16">
        <v>13.99777760138293</v>
      </c>
      <c r="G16">
        <v>2.9112108931375529</v>
      </c>
      <c r="H16">
        <v>3.1164084806298988</v>
      </c>
      <c r="I16">
        <v>3.109166756016247</v>
      </c>
    </row>
    <row r="17" spans="1:9" x14ac:dyDescent="0.25">
      <c r="A17" t="s">
        <v>4</v>
      </c>
      <c r="B17">
        <v>327</v>
      </c>
      <c r="C17">
        <v>1284.5999999999999</v>
      </c>
      <c r="D17">
        <v>6.9140758199808907</v>
      </c>
      <c r="E17">
        <v>2058.6</v>
      </c>
      <c r="F17">
        <v>19.55630049086199</v>
      </c>
      <c r="G17">
        <v>3.1087679176780818</v>
      </c>
      <c r="H17">
        <v>3.3135719684398168</v>
      </c>
      <c r="I17">
        <v>3.3113664252333779</v>
      </c>
    </row>
    <row r="18" spans="1:9" x14ac:dyDescent="0.25">
      <c r="A18" t="s">
        <v>4</v>
      </c>
      <c r="B18">
        <v>393</v>
      </c>
      <c r="C18">
        <v>1840.5</v>
      </c>
      <c r="D18">
        <v>5.0799168847093892</v>
      </c>
      <c r="E18">
        <v>2962.7</v>
      </c>
      <c r="F18">
        <v>19.4810734360872</v>
      </c>
      <c r="G18">
        <v>3.2649358217826849</v>
      </c>
      <c r="H18">
        <v>3.4716876774872119</v>
      </c>
      <c r="I18">
        <v>3.4712043182454062</v>
      </c>
    </row>
    <row r="19" spans="1:9" x14ac:dyDescent="0.25">
      <c r="A19" t="s">
        <v>4</v>
      </c>
      <c r="B19">
        <v>458</v>
      </c>
      <c r="C19">
        <v>2505.1</v>
      </c>
      <c r="D19">
        <v>6.680735155820968</v>
      </c>
      <c r="E19">
        <v>4058.4</v>
      </c>
      <c r="F19">
        <v>20.235941622107269</v>
      </c>
      <c r="G19">
        <v>3.3988250669622899</v>
      </c>
      <c r="H19">
        <v>3.608354849309348</v>
      </c>
      <c r="I19">
        <v>3.6082399976904238</v>
      </c>
    </row>
    <row r="20" spans="1:9" x14ac:dyDescent="0.25">
      <c r="A20" t="s">
        <v>4</v>
      </c>
      <c r="B20">
        <v>524</v>
      </c>
      <c r="C20">
        <v>3307.9</v>
      </c>
      <c r="D20">
        <v>4.9181071336214064</v>
      </c>
      <c r="E20">
        <v>5400</v>
      </c>
      <c r="F20">
        <v>11.072488428533131</v>
      </c>
      <c r="G20">
        <v>3.51955237207016</v>
      </c>
      <c r="H20">
        <v>3.7323937598229691</v>
      </c>
      <c r="I20">
        <v>3.731804427834386</v>
      </c>
    </row>
    <row r="21" spans="1:9" x14ac:dyDescent="0.25">
      <c r="A21" t="s">
        <v>4</v>
      </c>
      <c r="B21">
        <v>589</v>
      </c>
      <c r="C21">
        <v>4160.1000000000004</v>
      </c>
      <c r="D21">
        <v>4.5812419470900876</v>
      </c>
      <c r="E21">
        <v>6788.2</v>
      </c>
      <c r="F21">
        <v>13.05526713629407</v>
      </c>
      <c r="G21">
        <v>3.6191037702724662</v>
      </c>
      <c r="H21">
        <v>3.8317546294053328</v>
      </c>
      <c r="I21">
        <v>3.833695311408003</v>
      </c>
    </row>
    <row r="22" spans="1:9" x14ac:dyDescent="0.25">
      <c r="A22" t="s">
        <v>4</v>
      </c>
      <c r="B22">
        <v>655</v>
      </c>
      <c r="C22">
        <v>5121.1000000000004</v>
      </c>
      <c r="D22">
        <v>5.0032211846191874</v>
      </c>
      <c r="E22">
        <v>8343.7999999999993</v>
      </c>
      <c r="F22">
        <v>15.82950830990443</v>
      </c>
      <c r="G22">
        <v>3.7093632564093162</v>
      </c>
      <c r="H22">
        <v>3.9213638855506212</v>
      </c>
      <c r="I22">
        <v>3.926075920414569</v>
      </c>
    </row>
    <row r="23" spans="1:9" x14ac:dyDescent="0.25">
      <c r="A23" t="s">
        <v>5</v>
      </c>
      <c r="B23">
        <v>65</v>
      </c>
      <c r="C23">
        <v>55.3</v>
      </c>
      <c r="D23">
        <v>2.2313423961572751</v>
      </c>
      <c r="E23">
        <v>86</v>
      </c>
      <c r="F23">
        <v>4.9754955085454107</v>
      </c>
      <c r="G23">
        <v>1.7427251313046981</v>
      </c>
      <c r="H23">
        <v>1.9344984512435679</v>
      </c>
      <c r="I23">
        <v>1.9457851526211629</v>
      </c>
    </row>
    <row r="24" spans="1:9" x14ac:dyDescent="0.25">
      <c r="A24" t="s">
        <v>5</v>
      </c>
      <c r="B24">
        <v>130</v>
      </c>
      <c r="C24">
        <v>211.6</v>
      </c>
      <c r="D24">
        <v>4.3772137256478576</v>
      </c>
      <c r="E24">
        <v>353.2</v>
      </c>
      <c r="F24">
        <v>8.4219290479609761</v>
      </c>
      <c r="G24">
        <v>2.3255156633631482</v>
      </c>
      <c r="H24">
        <v>2.5480206949055311</v>
      </c>
      <c r="I24">
        <v>2.5428575354672329</v>
      </c>
    </row>
    <row r="25" spans="1:9" x14ac:dyDescent="0.25">
      <c r="A25" t="s">
        <v>5</v>
      </c>
      <c r="B25">
        <v>196</v>
      </c>
      <c r="C25">
        <v>478.7</v>
      </c>
      <c r="D25">
        <v>5.587784295526566</v>
      </c>
      <c r="E25">
        <v>810.1</v>
      </c>
      <c r="F25">
        <v>12.541885380152729</v>
      </c>
      <c r="G25">
        <v>2.680063427481949</v>
      </c>
      <c r="H25">
        <v>2.9085386321719588</v>
      </c>
      <c r="I25">
        <v>2.9060938385819308</v>
      </c>
    </row>
    <row r="26" spans="1:9" x14ac:dyDescent="0.25">
      <c r="A26" t="s">
        <v>5</v>
      </c>
      <c r="B26">
        <v>262</v>
      </c>
      <c r="C26">
        <v>872.7</v>
      </c>
      <c r="D26">
        <v>5.3417641696769467</v>
      </c>
      <c r="E26">
        <v>1514.7</v>
      </c>
      <c r="F26">
        <v>8.8807532213083</v>
      </c>
      <c r="G26">
        <v>2.940864975966722</v>
      </c>
      <c r="H26">
        <v>3.180326625415149</v>
      </c>
      <c r="I26">
        <v>3.173286583552831</v>
      </c>
    </row>
    <row r="27" spans="1:9" x14ac:dyDescent="0.25">
      <c r="A27" t="s">
        <v>5</v>
      </c>
      <c r="B27">
        <v>327</v>
      </c>
      <c r="C27">
        <v>1350.5</v>
      </c>
      <c r="D27">
        <v>5.814254514170802</v>
      </c>
      <c r="E27">
        <v>2365.1</v>
      </c>
      <c r="F27">
        <v>17.886959868388288</v>
      </c>
      <c r="G27">
        <v>3.1304945885234701</v>
      </c>
      <c r="H27">
        <v>3.3738495080886488</v>
      </c>
      <c r="I27">
        <v>3.3675632548424721</v>
      </c>
    </row>
    <row r="28" spans="1:9" x14ac:dyDescent="0.25">
      <c r="A28" t="s">
        <v>5</v>
      </c>
      <c r="B28">
        <v>393</v>
      </c>
      <c r="C28">
        <v>1956.9</v>
      </c>
      <c r="D28">
        <v>8.1846061467719871</v>
      </c>
      <c r="E28">
        <v>3435.7</v>
      </c>
      <c r="F28">
        <v>21.102422188512438</v>
      </c>
      <c r="G28">
        <v>3.2915686332421501</v>
      </c>
      <c r="H28">
        <v>3.5360152348935778</v>
      </c>
      <c r="I28">
        <v>3.5325845762341381</v>
      </c>
    </row>
    <row r="29" spans="1:9" x14ac:dyDescent="0.25">
      <c r="A29" t="s">
        <v>5</v>
      </c>
      <c r="B29">
        <v>458</v>
      </c>
      <c r="C29">
        <v>2651.9</v>
      </c>
      <c r="D29">
        <v>8.6106523175270127</v>
      </c>
      <c r="E29">
        <v>4670.3</v>
      </c>
      <c r="F29">
        <v>22.356232041896309</v>
      </c>
      <c r="G29">
        <v>3.423557143312292</v>
      </c>
      <c r="H29">
        <v>3.6693447786731568</v>
      </c>
      <c r="I29">
        <v>3.6678075935634209</v>
      </c>
    </row>
    <row r="30" spans="1:9" x14ac:dyDescent="0.25">
      <c r="A30" t="s">
        <v>5</v>
      </c>
      <c r="B30">
        <v>524</v>
      </c>
      <c r="C30">
        <v>3473</v>
      </c>
      <c r="D30">
        <v>6.7396010432533933</v>
      </c>
      <c r="E30">
        <v>6121.7</v>
      </c>
      <c r="F30">
        <v>19.54314315673005</v>
      </c>
      <c r="G30">
        <v>3.5407047833107619</v>
      </c>
      <c r="H30">
        <v>3.7868720427495588</v>
      </c>
      <c r="I30">
        <v>3.7878260508153412</v>
      </c>
    </row>
    <row r="31" spans="1:9" x14ac:dyDescent="0.25">
      <c r="A31" t="s">
        <v>5</v>
      </c>
      <c r="B31">
        <v>589</v>
      </c>
      <c r="C31">
        <v>4398.1000000000004</v>
      </c>
      <c r="D31">
        <v>2.3449709782615411</v>
      </c>
      <c r="E31">
        <v>7775.8</v>
      </c>
      <c r="F31">
        <v>11.123348816291291</v>
      </c>
      <c r="G31">
        <v>3.6432650997301961</v>
      </c>
      <c r="H31">
        <v>3.890745081649003</v>
      </c>
      <c r="I31">
        <v>3.8928997078867922</v>
      </c>
    </row>
    <row r="32" spans="1:9" x14ac:dyDescent="0.25">
      <c r="A32" t="s">
        <v>5</v>
      </c>
      <c r="B32">
        <v>655</v>
      </c>
      <c r="C32">
        <v>5425.8</v>
      </c>
      <c r="D32">
        <v>7.5037768268163907</v>
      </c>
      <c r="E32">
        <v>9614.5</v>
      </c>
      <c r="F32">
        <v>12.57002607616848</v>
      </c>
      <c r="G32">
        <v>3.734463781224838</v>
      </c>
      <c r="H32">
        <v>3.982926703770838</v>
      </c>
      <c r="I32">
        <v>3.9863333020807432</v>
      </c>
    </row>
    <row r="33" spans="1:9" x14ac:dyDescent="0.25">
      <c r="A33" t="s">
        <v>6</v>
      </c>
      <c r="B33">
        <v>65</v>
      </c>
      <c r="C33">
        <v>49.8</v>
      </c>
      <c r="D33">
        <v>1.2092238098144701</v>
      </c>
      <c r="E33">
        <v>84.4</v>
      </c>
      <c r="F33">
        <v>2.608533006201847</v>
      </c>
      <c r="G33">
        <v>1.697229342759718</v>
      </c>
      <c r="H33">
        <v>1.9263424466256549</v>
      </c>
      <c r="I33">
        <v>1.9260214176428361</v>
      </c>
    </row>
    <row r="34" spans="1:9" x14ac:dyDescent="0.25">
      <c r="A34" t="s">
        <v>6</v>
      </c>
      <c r="B34">
        <v>130</v>
      </c>
      <c r="C34">
        <v>213.4</v>
      </c>
      <c r="D34">
        <v>4.0830271994086829</v>
      </c>
      <c r="E34">
        <v>369.8</v>
      </c>
      <c r="F34">
        <v>10.344939718421649</v>
      </c>
      <c r="G34">
        <v>2.3291944150884509</v>
      </c>
      <c r="H34">
        <v>2.5679669068231541</v>
      </c>
      <c r="I34">
        <v>2.571653336874856</v>
      </c>
    </row>
    <row r="35" spans="1:9" x14ac:dyDescent="0.25">
      <c r="A35" t="s">
        <v>6</v>
      </c>
      <c r="B35">
        <v>196</v>
      </c>
      <c r="C35">
        <v>470.4</v>
      </c>
      <c r="D35">
        <v>5.1901616331071789</v>
      </c>
      <c r="E35">
        <v>836.5</v>
      </c>
      <c r="F35">
        <v>11.92592880147193</v>
      </c>
      <c r="G35">
        <v>2.6724673130680818</v>
      </c>
      <c r="H35">
        <v>2.9224659452984132</v>
      </c>
      <c r="I35">
        <v>2.9223498383860051</v>
      </c>
    </row>
    <row r="36" spans="1:9" x14ac:dyDescent="0.25">
      <c r="A36" t="s">
        <v>6</v>
      </c>
      <c r="B36">
        <v>262</v>
      </c>
      <c r="C36">
        <v>836.4</v>
      </c>
      <c r="D36">
        <v>8.5481641953761685</v>
      </c>
      <c r="E36">
        <v>1491.3</v>
      </c>
      <c r="F36">
        <v>26.092165703733961</v>
      </c>
      <c r="G36">
        <v>2.9224140241456338</v>
      </c>
      <c r="H36">
        <v>3.1735650178586621</v>
      </c>
      <c r="I36">
        <v>3.1777018852706291</v>
      </c>
    </row>
    <row r="37" spans="1:9" x14ac:dyDescent="0.25">
      <c r="A37" t="s">
        <v>6</v>
      </c>
      <c r="B37">
        <v>327</v>
      </c>
      <c r="C37">
        <v>1306.5</v>
      </c>
      <c r="D37">
        <v>6.0429021725216323</v>
      </c>
      <c r="E37">
        <v>2403.1</v>
      </c>
      <c r="F37">
        <v>23.04076098280321</v>
      </c>
      <c r="G37">
        <v>3.1161094140633439</v>
      </c>
      <c r="H37">
        <v>3.3807718434400069</v>
      </c>
      <c r="I37">
        <v>3.3755861225721402</v>
      </c>
    </row>
    <row r="38" spans="1:9" x14ac:dyDescent="0.25">
      <c r="A38" t="s">
        <v>6</v>
      </c>
      <c r="B38">
        <v>393</v>
      </c>
      <c r="C38">
        <v>1873.9</v>
      </c>
      <c r="D38">
        <v>10.574024777727731</v>
      </c>
      <c r="E38">
        <v>3483.4</v>
      </c>
      <c r="F38">
        <v>27.375252408780529</v>
      </c>
      <c r="G38">
        <v>3.2727464112011901</v>
      </c>
      <c r="H38">
        <v>3.5420033475039849</v>
      </c>
      <c r="I38">
        <v>3.535610544036119</v>
      </c>
    </row>
    <row r="39" spans="1:9" x14ac:dyDescent="0.25">
      <c r="A39" t="s">
        <v>6</v>
      </c>
      <c r="B39">
        <v>458</v>
      </c>
      <c r="C39">
        <v>2520.6</v>
      </c>
      <c r="D39">
        <v>6.49307323229917</v>
      </c>
      <c r="E39">
        <v>4673.3</v>
      </c>
      <c r="F39">
        <v>16.852332512477641</v>
      </c>
      <c r="G39">
        <v>3.4015039319216358</v>
      </c>
      <c r="H39">
        <v>3.6696236612217419</v>
      </c>
      <c r="I39">
        <v>3.6671525688381741</v>
      </c>
    </row>
    <row r="40" spans="1:9" x14ac:dyDescent="0.25">
      <c r="A40" t="s">
        <v>6</v>
      </c>
      <c r="B40">
        <v>524</v>
      </c>
      <c r="C40">
        <v>3300.4</v>
      </c>
      <c r="D40">
        <v>12.533687938246</v>
      </c>
      <c r="E40">
        <v>6131.9</v>
      </c>
      <c r="F40">
        <v>31.883973682365529</v>
      </c>
      <c r="G40">
        <v>3.5185665784431182</v>
      </c>
      <c r="H40">
        <v>3.7875950636966369</v>
      </c>
      <c r="I40">
        <v>3.786746806642395</v>
      </c>
    </row>
    <row r="41" spans="1:9" x14ac:dyDescent="0.25">
      <c r="A41" t="s">
        <v>6</v>
      </c>
      <c r="B41">
        <v>589</v>
      </c>
      <c r="C41">
        <v>4173.8</v>
      </c>
      <c r="D41">
        <v>9.9808705921767036</v>
      </c>
      <c r="E41">
        <v>7758</v>
      </c>
      <c r="F41">
        <v>26.06530260710587</v>
      </c>
      <c r="G41">
        <v>3.620531634720475</v>
      </c>
      <c r="H41">
        <v>3.889749775264038</v>
      </c>
      <c r="I41">
        <v>3.890916954426618</v>
      </c>
    </row>
    <row r="42" spans="1:9" x14ac:dyDescent="0.25">
      <c r="A42" t="s">
        <v>6</v>
      </c>
      <c r="B42">
        <v>655</v>
      </c>
      <c r="C42">
        <v>5203.6000000000004</v>
      </c>
      <c r="D42">
        <v>9.5174693181655279</v>
      </c>
      <c r="E42">
        <v>9696.7000000000007</v>
      </c>
      <c r="F42">
        <v>28.49758274349286</v>
      </c>
      <c r="G42">
        <v>3.7163039050168698</v>
      </c>
      <c r="H42">
        <v>3.986623959458766</v>
      </c>
      <c r="I42">
        <v>3.9887603913317902</v>
      </c>
    </row>
  </sheetData>
  <phoneticPr fontId="2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D40A-C89C-420E-9857-286802B3D7FB}">
  <dimension ref="A2:K42"/>
  <sheetViews>
    <sheetView topLeftCell="A7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0.140625" customWidth="1"/>
  </cols>
  <sheetData>
    <row r="2" spans="1:11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30"/>
      <c r="K2" s="30"/>
    </row>
    <row r="3" spans="1:11" x14ac:dyDescent="0.25">
      <c r="A3" t="s">
        <v>3</v>
      </c>
      <c r="B3">
        <v>65</v>
      </c>
      <c r="C3">
        <v>53.9</v>
      </c>
      <c r="D3">
        <v>1.9174636024359539</v>
      </c>
      <c r="E3">
        <v>3.1450900000000002</v>
      </c>
      <c r="F3">
        <v>6.3120149714651325E-2</v>
      </c>
      <c r="G3">
        <v>1.731588765186739</v>
      </c>
      <c r="H3">
        <v>0.49763307774444049</v>
      </c>
      <c r="I3">
        <v>0.51006056698685842</v>
      </c>
    </row>
    <row r="4" spans="1:11" x14ac:dyDescent="0.25">
      <c r="A4" t="s">
        <v>3</v>
      </c>
      <c r="B4">
        <v>131</v>
      </c>
      <c r="C4">
        <v>218.7</v>
      </c>
      <c r="D4">
        <v>4.1794470660337089</v>
      </c>
      <c r="E4">
        <v>3.402806</v>
      </c>
      <c r="F4">
        <v>2.2077212092512441E-2</v>
      </c>
      <c r="G4">
        <v>2.3398487830376369</v>
      </c>
      <c r="H4">
        <v>0.53183718990358098</v>
      </c>
      <c r="I4">
        <v>0.52392876133226562</v>
      </c>
    </row>
    <row r="5" spans="1:11" x14ac:dyDescent="0.25">
      <c r="A5" t="s">
        <v>3</v>
      </c>
      <c r="B5">
        <v>196</v>
      </c>
      <c r="C5">
        <v>480.2</v>
      </c>
      <c r="D5">
        <v>2.48461935381123</v>
      </c>
      <c r="E5">
        <v>3.427442000000001</v>
      </c>
      <c r="F5">
        <v>2.2532037625469119E-2</v>
      </c>
      <c r="G5">
        <v>2.6814221557210089</v>
      </c>
      <c r="H5">
        <v>0.53497011428778607</v>
      </c>
      <c r="I5">
        <v>0.53171655894606573</v>
      </c>
    </row>
    <row r="6" spans="1:11" x14ac:dyDescent="0.25">
      <c r="A6" t="s">
        <v>3</v>
      </c>
      <c r="B6">
        <v>262</v>
      </c>
      <c r="C6">
        <v>862.5</v>
      </c>
      <c r="D6">
        <v>4.7755162606314672</v>
      </c>
      <c r="E6">
        <v>3.4885860000000002</v>
      </c>
      <c r="F6">
        <v>1.6858418681609609E-2</v>
      </c>
      <c r="G6">
        <v>2.9357591037453119</v>
      </c>
      <c r="H6">
        <v>0.54264943359725393</v>
      </c>
      <c r="I6">
        <v>0.53751538530470266</v>
      </c>
    </row>
    <row r="7" spans="1:11" x14ac:dyDescent="0.25">
      <c r="A7" t="s">
        <v>3</v>
      </c>
      <c r="B7">
        <v>328</v>
      </c>
      <c r="C7">
        <v>1345.8</v>
      </c>
      <c r="D7">
        <v>5.6819402007100033</v>
      </c>
      <c r="E7">
        <v>3.515368</v>
      </c>
      <c r="F7">
        <v>1.319026701776729E-2</v>
      </c>
      <c r="G7">
        <v>3.1289805239666109</v>
      </c>
      <c r="H7">
        <v>0.54597079507527202</v>
      </c>
      <c r="I7">
        <v>0.5419207910994025</v>
      </c>
    </row>
    <row r="8" spans="1:11" x14ac:dyDescent="0.25">
      <c r="A8" t="s">
        <v>3</v>
      </c>
      <c r="B8">
        <v>393</v>
      </c>
      <c r="C8">
        <v>1950.4</v>
      </c>
      <c r="D8">
        <v>5.619806244188692</v>
      </c>
      <c r="E8">
        <v>3.5318290000000001</v>
      </c>
      <c r="F8">
        <v>9.6383914575456486E-3</v>
      </c>
      <c r="G8">
        <v>3.2901236882743068</v>
      </c>
      <c r="H8">
        <v>0.54799966824805668</v>
      </c>
      <c r="I8">
        <v>0.54559481972937696</v>
      </c>
    </row>
    <row r="9" spans="1:11" x14ac:dyDescent="0.25">
      <c r="A9" t="s">
        <v>3</v>
      </c>
      <c r="B9">
        <v>459</v>
      </c>
      <c r="C9">
        <v>2662.6</v>
      </c>
      <c r="D9">
        <v>4.9959983987187186</v>
      </c>
      <c r="E9">
        <v>3.5577209999999999</v>
      </c>
      <c r="F9">
        <v>5.8242953698757049E-3</v>
      </c>
      <c r="G9">
        <v>3.4253059276703191</v>
      </c>
      <c r="H9">
        <v>0.55117188728039912</v>
      </c>
      <c r="I9">
        <v>0.5486769449931993</v>
      </c>
    </row>
    <row r="10" spans="1:11" x14ac:dyDescent="0.25">
      <c r="A10" t="s">
        <v>3</v>
      </c>
      <c r="B10">
        <v>524</v>
      </c>
      <c r="C10">
        <v>3464.1</v>
      </c>
      <c r="D10">
        <v>4.1000000000000014</v>
      </c>
      <c r="E10">
        <v>3.570395</v>
      </c>
      <c r="F10">
        <v>5.2432837992998109E-3</v>
      </c>
      <c r="G10">
        <v>3.5395904205339161</v>
      </c>
      <c r="H10">
        <v>0.55271626564461451</v>
      </c>
      <c r="I10">
        <v>0.55128260624198311</v>
      </c>
    </row>
    <row r="11" spans="1:11" x14ac:dyDescent="0.25">
      <c r="A11" t="s">
        <v>3</v>
      </c>
      <c r="B11">
        <v>590</v>
      </c>
      <c r="C11">
        <v>4413.3</v>
      </c>
      <c r="D11">
        <v>7.7172965905598483</v>
      </c>
      <c r="E11">
        <v>3.5621109999999998</v>
      </c>
      <c r="F11">
        <v>6.4844203801624738E-3</v>
      </c>
      <c r="G11">
        <v>3.644763450201828</v>
      </c>
      <c r="H11">
        <v>0.55170744851756504</v>
      </c>
      <c r="I11">
        <v>0.5536805281380881</v>
      </c>
    </row>
    <row r="12" spans="1:11" x14ac:dyDescent="0.25">
      <c r="A12" t="s">
        <v>3</v>
      </c>
      <c r="B12">
        <v>656</v>
      </c>
      <c r="C12">
        <v>5475.3</v>
      </c>
      <c r="D12">
        <v>2.4857370916669539</v>
      </c>
      <c r="E12">
        <v>3.573941</v>
      </c>
      <c r="F12">
        <v>1.5668258429775029E-3</v>
      </c>
      <c r="G12">
        <v>3.7384079198181208</v>
      </c>
      <c r="H12">
        <v>0.55314737872756292</v>
      </c>
      <c r="I12">
        <v>0.55581560140593145</v>
      </c>
    </row>
    <row r="13" spans="1:11" x14ac:dyDescent="0.25">
      <c r="A13" t="s">
        <v>4</v>
      </c>
      <c r="B13">
        <v>65</v>
      </c>
      <c r="C13">
        <v>49.5</v>
      </c>
      <c r="D13">
        <v>2.320201140705981</v>
      </c>
      <c r="E13">
        <v>2.8570570000000002</v>
      </c>
      <c r="F13">
        <v>7.8350005347089066E-2</v>
      </c>
      <c r="G13">
        <v>1.6946051989335691</v>
      </c>
      <c r="H13">
        <v>0.45591890490445469</v>
      </c>
      <c r="I13">
        <v>0.46919556731156259</v>
      </c>
    </row>
    <row r="14" spans="1:11" x14ac:dyDescent="0.25">
      <c r="A14" t="s">
        <v>4</v>
      </c>
      <c r="B14">
        <v>130</v>
      </c>
      <c r="C14">
        <v>197</v>
      </c>
      <c r="D14">
        <v>2.5647178748895119</v>
      </c>
      <c r="E14">
        <v>3.097639</v>
      </c>
      <c r="F14">
        <v>5.9381370113492281E-2</v>
      </c>
      <c r="G14">
        <v>2.2944662261615929</v>
      </c>
      <c r="H14">
        <v>0.49103080353189288</v>
      </c>
      <c r="I14">
        <v>0.48371554040580361</v>
      </c>
    </row>
    <row r="15" spans="1:11" x14ac:dyDescent="0.25">
      <c r="A15" t="s">
        <v>4</v>
      </c>
      <c r="B15">
        <v>196</v>
      </c>
      <c r="C15">
        <v>458</v>
      </c>
      <c r="D15">
        <v>4.6785562825393994</v>
      </c>
      <c r="E15">
        <v>3.1617030000000002</v>
      </c>
      <c r="F15">
        <v>2.6974111623719689E-2</v>
      </c>
      <c r="G15">
        <v>2.6608654780038692</v>
      </c>
      <c r="H15">
        <v>0.49992107131435248</v>
      </c>
      <c r="I15">
        <v>0.49258444009592722</v>
      </c>
    </row>
    <row r="16" spans="1:11" x14ac:dyDescent="0.25">
      <c r="A16" t="s">
        <v>4</v>
      </c>
      <c r="B16">
        <v>262</v>
      </c>
      <c r="C16">
        <v>815.1</v>
      </c>
      <c r="D16">
        <v>7.0228990531767641</v>
      </c>
      <c r="E16">
        <v>3.2075429999999998</v>
      </c>
      <c r="F16">
        <v>1.134108872394728E-2</v>
      </c>
      <c r="G16">
        <v>2.9112108931375529</v>
      </c>
      <c r="H16">
        <v>0.50617248719429142</v>
      </c>
      <c r="I16">
        <v>0.49864419148335293</v>
      </c>
    </row>
    <row r="17" spans="1:9" x14ac:dyDescent="0.25">
      <c r="A17" t="s">
        <v>4</v>
      </c>
      <c r="B17">
        <v>327</v>
      </c>
      <c r="C17">
        <v>1284.5999999999999</v>
      </c>
      <c r="D17">
        <v>6.9140758199808907</v>
      </c>
      <c r="E17">
        <v>3.204774</v>
      </c>
      <c r="F17">
        <v>2.0908667272476051E-2</v>
      </c>
      <c r="G17">
        <v>3.1087679176780818</v>
      </c>
      <c r="H17">
        <v>0.50579740857757982</v>
      </c>
      <c r="I17">
        <v>0.50342617022626657</v>
      </c>
    </row>
    <row r="18" spans="1:9" x14ac:dyDescent="0.25">
      <c r="A18" t="s">
        <v>4</v>
      </c>
      <c r="B18">
        <v>393</v>
      </c>
      <c r="C18">
        <v>1840.5</v>
      </c>
      <c r="D18">
        <v>5.0799168847093892</v>
      </c>
      <c r="E18">
        <v>3.2192470000000002</v>
      </c>
      <c r="F18">
        <v>1.501905316219663E-2</v>
      </c>
      <c r="G18">
        <v>3.2649358217826849</v>
      </c>
      <c r="H18">
        <v>0.50775429964979391</v>
      </c>
      <c r="I18">
        <v>0.50720630206157058</v>
      </c>
    </row>
    <row r="19" spans="1:9" x14ac:dyDescent="0.25">
      <c r="A19" t="s">
        <v>4</v>
      </c>
      <c r="B19">
        <v>458</v>
      </c>
      <c r="C19">
        <v>2505.1</v>
      </c>
      <c r="D19">
        <v>6.680735155820968</v>
      </c>
      <c r="E19">
        <v>3.2399840000000002</v>
      </c>
      <c r="F19">
        <v>9.886313906945653E-3</v>
      </c>
      <c r="G19">
        <v>3.3988250669622899</v>
      </c>
      <c r="H19">
        <v>0.51054286553720851</v>
      </c>
      <c r="I19">
        <v>0.51044716644410881</v>
      </c>
    </row>
    <row r="20" spans="1:9" x14ac:dyDescent="0.25">
      <c r="A20" t="s">
        <v>4</v>
      </c>
      <c r="B20">
        <v>524</v>
      </c>
      <c r="C20">
        <v>3307.9</v>
      </c>
      <c r="D20">
        <v>4.9181071336214064</v>
      </c>
      <c r="E20">
        <v>3.2649699999999999</v>
      </c>
      <c r="F20">
        <v>7.8908895428701706E-3</v>
      </c>
      <c r="G20">
        <v>3.51955237207016</v>
      </c>
      <c r="H20">
        <v>0.51387919513810221</v>
      </c>
      <c r="I20">
        <v>0.51336943867440676</v>
      </c>
    </row>
    <row r="21" spans="1:9" x14ac:dyDescent="0.25">
      <c r="A21" t="s">
        <v>4</v>
      </c>
      <c r="B21">
        <v>589</v>
      </c>
      <c r="C21">
        <v>4160.1000000000004</v>
      </c>
      <c r="D21">
        <v>4.5812419470900876</v>
      </c>
      <c r="E21">
        <v>3.2634810000000001</v>
      </c>
      <c r="F21">
        <v>5.326325072484585E-3</v>
      </c>
      <c r="G21">
        <v>3.6191037702724662</v>
      </c>
      <c r="H21">
        <v>0.51368108857506989</v>
      </c>
      <c r="I21">
        <v>0.51577913618396354</v>
      </c>
    </row>
    <row r="22" spans="1:9" x14ac:dyDescent="0.25">
      <c r="A22" t="s">
        <v>4</v>
      </c>
      <c r="B22">
        <v>655</v>
      </c>
      <c r="C22">
        <v>5121.1000000000004</v>
      </c>
      <c r="D22">
        <v>5.0032211846191874</v>
      </c>
      <c r="E22">
        <v>3.2585809999999999</v>
      </c>
      <c r="F22">
        <v>4.1778525717300046E-3</v>
      </c>
      <c r="G22">
        <v>3.7093632564093162</v>
      </c>
      <c r="H22">
        <v>0.51302852091726037</v>
      </c>
      <c r="I22">
        <v>0.51796391774289097</v>
      </c>
    </row>
    <row r="23" spans="1:9" x14ac:dyDescent="0.25">
      <c r="A23" t="s">
        <v>5</v>
      </c>
      <c r="B23">
        <v>65</v>
      </c>
      <c r="C23">
        <v>55.3</v>
      </c>
      <c r="D23">
        <v>2.2313423961572751</v>
      </c>
      <c r="E23">
        <v>3.0927760000000002</v>
      </c>
      <c r="F23">
        <v>7.4860785524420811E-2</v>
      </c>
      <c r="G23">
        <v>1.7427251313046981</v>
      </c>
      <c r="H23">
        <v>0.49034846656419612</v>
      </c>
      <c r="I23">
        <v>0.5027907425585495</v>
      </c>
    </row>
    <row r="24" spans="1:9" x14ac:dyDescent="0.25">
      <c r="A24" t="s">
        <v>5</v>
      </c>
      <c r="B24">
        <v>130</v>
      </c>
      <c r="C24">
        <v>211.6</v>
      </c>
      <c r="D24">
        <v>4.3772137256478576</v>
      </c>
      <c r="E24">
        <v>3.3383630000000002</v>
      </c>
      <c r="F24">
        <v>3.6441629401612177E-2</v>
      </c>
      <c r="G24">
        <v>2.3255156633631482</v>
      </c>
      <c r="H24">
        <v>0.52353355832452519</v>
      </c>
      <c r="I24">
        <v>0.51752351891033554</v>
      </c>
    </row>
    <row r="25" spans="1:9" x14ac:dyDescent="0.25">
      <c r="A25" t="s">
        <v>5</v>
      </c>
      <c r="B25">
        <v>196</v>
      </c>
      <c r="C25">
        <v>478.7</v>
      </c>
      <c r="D25">
        <v>5.587784295526566</v>
      </c>
      <c r="E25">
        <v>3.3845480000000001</v>
      </c>
      <c r="F25">
        <v>3.351114553564398E-2</v>
      </c>
      <c r="G25">
        <v>2.680063427481949</v>
      </c>
      <c r="H25">
        <v>0.5295006776849569</v>
      </c>
      <c r="I25">
        <v>0.52648638400071113</v>
      </c>
    </row>
    <row r="26" spans="1:9" x14ac:dyDescent="0.25">
      <c r="A26" t="s">
        <v>5</v>
      </c>
      <c r="B26">
        <v>262</v>
      </c>
      <c r="C26">
        <v>872.7</v>
      </c>
      <c r="D26">
        <v>5.3417641696769467</v>
      </c>
      <c r="E26">
        <v>3.471597</v>
      </c>
      <c r="F26">
        <v>1.372981209307364E-2</v>
      </c>
      <c r="G26">
        <v>2.940864975966722</v>
      </c>
      <c r="H26">
        <v>0.54052930439775992</v>
      </c>
      <c r="I26">
        <v>0.5330793718319552</v>
      </c>
    </row>
    <row r="27" spans="1:9" x14ac:dyDescent="0.25">
      <c r="A27" t="s">
        <v>5</v>
      </c>
      <c r="B27">
        <v>327</v>
      </c>
      <c r="C27">
        <v>1350.5</v>
      </c>
      <c r="D27">
        <v>5.814254514170802</v>
      </c>
      <c r="E27">
        <v>3.502211</v>
      </c>
      <c r="F27">
        <v>1.4776723246000399E-2</v>
      </c>
      <c r="G27">
        <v>3.1304945885234701</v>
      </c>
      <c r="H27">
        <v>0.54434230775976178</v>
      </c>
      <c r="I27">
        <v>0.53787315367601962</v>
      </c>
    </row>
    <row r="28" spans="1:9" x14ac:dyDescent="0.25">
      <c r="A28" t="s">
        <v>5</v>
      </c>
      <c r="B28">
        <v>393</v>
      </c>
      <c r="C28">
        <v>1956.9</v>
      </c>
      <c r="D28">
        <v>8.1846061467719871</v>
      </c>
      <c r="E28">
        <v>3.5111599999999989</v>
      </c>
      <c r="F28">
        <v>9.6410422442573876E-3</v>
      </c>
      <c r="G28">
        <v>3.2915686332421501</v>
      </c>
      <c r="H28">
        <v>0.54545062027533453</v>
      </c>
      <c r="I28">
        <v>0.54194505901143419</v>
      </c>
    </row>
    <row r="29" spans="1:9" x14ac:dyDescent="0.25">
      <c r="A29" t="s">
        <v>5</v>
      </c>
      <c r="B29">
        <v>458</v>
      </c>
      <c r="C29">
        <v>2651.9</v>
      </c>
      <c r="D29">
        <v>8.6106523175270127</v>
      </c>
      <c r="E29">
        <v>3.5220880000000001</v>
      </c>
      <c r="F29">
        <v>6.5257762075565471E-3</v>
      </c>
      <c r="G29">
        <v>3.423557143312292</v>
      </c>
      <c r="H29">
        <v>0.54680020269229246</v>
      </c>
      <c r="I29">
        <v>0.54528169043027441</v>
      </c>
    </row>
    <row r="30" spans="1:9" x14ac:dyDescent="0.25">
      <c r="A30" t="s">
        <v>5</v>
      </c>
      <c r="B30">
        <v>524</v>
      </c>
      <c r="C30">
        <v>3473</v>
      </c>
      <c r="D30">
        <v>6.7396010432533933</v>
      </c>
      <c r="E30">
        <v>3.5252469999999998</v>
      </c>
      <c r="F30">
        <v>5.4779588757533134E-3</v>
      </c>
      <c r="G30">
        <v>3.5407047833107619</v>
      </c>
      <c r="H30">
        <v>0.54718955167604899</v>
      </c>
      <c r="I30">
        <v>0.54824314893945958</v>
      </c>
    </row>
    <row r="31" spans="1:9" x14ac:dyDescent="0.25">
      <c r="A31" t="s">
        <v>5</v>
      </c>
      <c r="B31">
        <v>589</v>
      </c>
      <c r="C31">
        <v>4398.1000000000004</v>
      </c>
      <c r="D31">
        <v>2.3449709782615411</v>
      </c>
      <c r="E31">
        <v>3.535974</v>
      </c>
      <c r="F31">
        <v>3.9928005209376701E-3</v>
      </c>
      <c r="G31">
        <v>3.6432650997301961</v>
      </c>
      <c r="H31">
        <v>0.54850906298751656</v>
      </c>
      <c r="I31">
        <v>0.55083584412110398</v>
      </c>
    </row>
    <row r="32" spans="1:9" x14ac:dyDescent="0.25">
      <c r="A32" t="s">
        <v>5</v>
      </c>
      <c r="B32">
        <v>655</v>
      </c>
      <c r="C32">
        <v>5425.8</v>
      </c>
      <c r="D32">
        <v>7.5037768268163907</v>
      </c>
      <c r="E32">
        <v>3.5439989999999999</v>
      </c>
      <c r="F32">
        <v>1.363257903373788E-3</v>
      </c>
      <c r="G32">
        <v>3.734463781224838</v>
      </c>
      <c r="H32">
        <v>0.54949359067140624</v>
      </c>
      <c r="I32">
        <v>0.55314132045287046</v>
      </c>
    </row>
    <row r="33" spans="1:9" x14ac:dyDescent="0.25">
      <c r="A33" t="s">
        <v>6</v>
      </c>
      <c r="B33">
        <v>65</v>
      </c>
      <c r="C33">
        <v>49.8</v>
      </c>
      <c r="D33">
        <v>1.2092238098144701</v>
      </c>
      <c r="E33">
        <v>3.388951</v>
      </c>
      <c r="F33">
        <v>6.5251852565442317E-2</v>
      </c>
      <c r="G33">
        <v>1.697229342759718</v>
      </c>
      <c r="H33">
        <v>0.53006528952682741</v>
      </c>
      <c r="I33">
        <v>0.5295421413759962</v>
      </c>
    </row>
    <row r="34" spans="1:9" x14ac:dyDescent="0.25">
      <c r="A34" t="s">
        <v>6</v>
      </c>
      <c r="B34">
        <v>130</v>
      </c>
      <c r="C34">
        <v>213.4</v>
      </c>
      <c r="D34">
        <v>4.0830271994086829</v>
      </c>
      <c r="E34">
        <v>3.4615170000000002</v>
      </c>
      <c r="F34">
        <v>4.6145910907083053E-2</v>
      </c>
      <c r="G34">
        <v>2.3291944150884509</v>
      </c>
      <c r="H34">
        <v>0.5392664688343719</v>
      </c>
      <c r="I34">
        <v>0.54329225422603167</v>
      </c>
    </row>
    <row r="35" spans="1:9" x14ac:dyDescent="0.25">
      <c r="A35" t="s">
        <v>6</v>
      </c>
      <c r="B35">
        <v>196</v>
      </c>
      <c r="C35">
        <v>470.4</v>
      </c>
      <c r="D35">
        <v>5.1901616331071789</v>
      </c>
      <c r="E35">
        <v>3.556079</v>
      </c>
      <c r="F35">
        <v>2.7746827984874631E-2</v>
      </c>
      <c r="G35">
        <v>2.6724673130680818</v>
      </c>
      <c r="H35">
        <v>0.55097140046549031</v>
      </c>
      <c r="I35">
        <v>0.55076108643251065</v>
      </c>
    </row>
    <row r="36" spans="1:9" x14ac:dyDescent="0.25">
      <c r="A36" t="s">
        <v>6</v>
      </c>
      <c r="B36">
        <v>262</v>
      </c>
      <c r="C36">
        <v>836.4</v>
      </c>
      <c r="D36">
        <v>8.5481641953761685</v>
      </c>
      <c r="E36">
        <v>3.5638730000000001</v>
      </c>
      <c r="F36">
        <v>3.048414936214118E-2</v>
      </c>
      <c r="G36">
        <v>2.9224140241456338</v>
      </c>
      <c r="H36">
        <v>0.55192221938786412</v>
      </c>
      <c r="I36">
        <v>0.55619935451771862</v>
      </c>
    </row>
    <row r="37" spans="1:9" x14ac:dyDescent="0.25">
      <c r="A37" t="s">
        <v>6</v>
      </c>
      <c r="B37">
        <v>327</v>
      </c>
      <c r="C37">
        <v>1306.5</v>
      </c>
      <c r="D37">
        <v>6.0429021725216323</v>
      </c>
      <c r="E37">
        <v>3.6783510000000001</v>
      </c>
      <c r="F37">
        <v>2.631437496671522E-2</v>
      </c>
      <c r="G37">
        <v>3.1161094140633439</v>
      </c>
      <c r="H37">
        <v>0.56565316864591042</v>
      </c>
      <c r="I37">
        <v>0.56041372266323342</v>
      </c>
    </row>
    <row r="38" spans="1:9" x14ac:dyDescent="0.25">
      <c r="A38" t="s">
        <v>6</v>
      </c>
      <c r="B38">
        <v>393</v>
      </c>
      <c r="C38">
        <v>1873.9</v>
      </c>
      <c r="D38">
        <v>10.574024777727731</v>
      </c>
      <c r="E38">
        <v>3.7175160000000012</v>
      </c>
      <c r="F38">
        <v>1.312627392336114E-2</v>
      </c>
      <c r="G38">
        <v>3.2727464112011901</v>
      </c>
      <c r="H38">
        <v>0.57025284637940066</v>
      </c>
      <c r="I38">
        <v>0.56382178504111069</v>
      </c>
    </row>
    <row r="39" spans="1:9" x14ac:dyDescent="0.25">
      <c r="A39" t="s">
        <v>6</v>
      </c>
      <c r="B39">
        <v>458</v>
      </c>
      <c r="C39">
        <v>2520.6</v>
      </c>
      <c r="D39">
        <v>6.49307323229917</v>
      </c>
      <c r="E39">
        <v>3.7080949999999988</v>
      </c>
      <c r="F39">
        <v>9.8413546097859805E-3</v>
      </c>
      <c r="G39">
        <v>3.4015039319216358</v>
      </c>
      <c r="H39">
        <v>0.56915085207636162</v>
      </c>
      <c r="I39">
        <v>0.56662325385278578</v>
      </c>
    </row>
    <row r="40" spans="1:9" x14ac:dyDescent="0.25">
      <c r="A40" t="s">
        <v>6</v>
      </c>
      <c r="B40">
        <v>524</v>
      </c>
      <c r="C40">
        <v>3300.4</v>
      </c>
      <c r="D40">
        <v>12.533687938246</v>
      </c>
      <c r="E40">
        <v>3.7156919999999989</v>
      </c>
      <c r="F40">
        <v>6.3834789887646801E-3</v>
      </c>
      <c r="G40">
        <v>3.5185665784431182</v>
      </c>
      <c r="H40">
        <v>0.57003970740874577</v>
      </c>
      <c r="I40">
        <v>0.5691702689817435</v>
      </c>
    </row>
    <row r="41" spans="1:9" x14ac:dyDescent="0.25">
      <c r="A41" t="s">
        <v>6</v>
      </c>
      <c r="B41">
        <v>589</v>
      </c>
      <c r="C41">
        <v>4173.8</v>
      </c>
      <c r="D41">
        <v>9.9808705921767036</v>
      </c>
      <c r="E41">
        <v>3.7174139999999989</v>
      </c>
      <c r="F41">
        <v>5.0277547893887902E-3</v>
      </c>
      <c r="G41">
        <v>3.620531634720475</v>
      </c>
      <c r="H41">
        <v>0.57024093018458577</v>
      </c>
      <c r="I41">
        <v>0.57138879511865093</v>
      </c>
    </row>
    <row r="42" spans="1:9" x14ac:dyDescent="0.25">
      <c r="A42" t="s">
        <v>6</v>
      </c>
      <c r="B42">
        <v>655</v>
      </c>
      <c r="C42">
        <v>5203.6000000000004</v>
      </c>
      <c r="D42">
        <v>9.5174693181655279</v>
      </c>
      <c r="E42">
        <v>3.7268629999999998</v>
      </c>
      <c r="F42">
        <v>5.0459118876351418E-3</v>
      </c>
      <c r="G42">
        <v>3.7163039050168698</v>
      </c>
      <c r="H42">
        <v>0.57134342832196661</v>
      </c>
      <c r="I42">
        <v>0.57347258041334603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F077-EC4F-492C-BDC7-962283AFF80E}">
  <dimension ref="A1:K42"/>
  <sheetViews>
    <sheetView topLeftCell="A16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0.7109375" customWidth="1"/>
  </cols>
  <sheetData>
    <row r="1" spans="1:11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11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1"/>
      <c r="K2" s="1"/>
    </row>
    <row r="3" spans="1:11" x14ac:dyDescent="0.25">
      <c r="A3" s="27" t="s">
        <v>3</v>
      </c>
      <c r="B3">
        <v>65</v>
      </c>
      <c r="C3">
        <v>53.9</v>
      </c>
      <c r="D3">
        <v>1.9174636024359539</v>
      </c>
      <c r="E3">
        <v>10.8</v>
      </c>
      <c r="F3">
        <v>0.41633319989322648</v>
      </c>
      <c r="G3">
        <v>1.731588765186739</v>
      </c>
      <c r="H3">
        <v>1.0334237554869501</v>
      </c>
      <c r="I3">
        <v>1.019491982774134</v>
      </c>
    </row>
    <row r="4" spans="1:11" x14ac:dyDescent="0.25">
      <c r="A4" s="27" t="s">
        <v>3</v>
      </c>
      <c r="B4">
        <v>131</v>
      </c>
      <c r="C4">
        <v>218.7</v>
      </c>
      <c r="D4">
        <v>4.1794470660337089</v>
      </c>
      <c r="E4">
        <v>19.7</v>
      </c>
      <c r="F4">
        <v>0.39581140290126388</v>
      </c>
      <c r="G4">
        <v>2.3398487830376369</v>
      </c>
      <c r="H4">
        <v>1.2944662261615929</v>
      </c>
      <c r="I4">
        <v>1.3033313549351371</v>
      </c>
    </row>
    <row r="5" spans="1:11" x14ac:dyDescent="0.25">
      <c r="A5" s="27" t="s">
        <v>3</v>
      </c>
      <c r="B5">
        <v>196</v>
      </c>
      <c r="C5">
        <v>480.2</v>
      </c>
      <c r="D5">
        <v>2.48461935381123</v>
      </c>
      <c r="E5">
        <v>28.9</v>
      </c>
      <c r="F5">
        <v>0.67412494720522276</v>
      </c>
      <c r="G5">
        <v>2.6814221557210089</v>
      </c>
      <c r="H5">
        <v>1.460897842756548</v>
      </c>
      <c r="I5">
        <v>1.462723668754998</v>
      </c>
    </row>
    <row r="6" spans="1:11" x14ac:dyDescent="0.25">
      <c r="A6" s="27" t="s">
        <v>3</v>
      </c>
      <c r="B6">
        <v>262</v>
      </c>
      <c r="C6">
        <v>862.5</v>
      </c>
      <c r="D6">
        <v>4.7755162606314672</v>
      </c>
      <c r="E6">
        <v>37.700000000000003</v>
      </c>
      <c r="F6">
        <v>0.73105707331537684</v>
      </c>
      <c r="G6">
        <v>2.9357591037453119</v>
      </c>
      <c r="H6">
        <v>1.576341350205793</v>
      </c>
      <c r="I6">
        <v>1.581407845794331</v>
      </c>
    </row>
    <row r="7" spans="1:11" x14ac:dyDescent="0.25">
      <c r="A7" s="27" t="s">
        <v>3</v>
      </c>
      <c r="B7">
        <v>328</v>
      </c>
      <c r="C7">
        <v>1345.8</v>
      </c>
      <c r="D7">
        <v>5.6819402007100033</v>
      </c>
      <c r="E7">
        <v>46.2</v>
      </c>
      <c r="F7">
        <v>0.5925462944877059</v>
      </c>
      <c r="G7">
        <v>3.1289805239666109</v>
      </c>
      <c r="H7">
        <v>1.664641975556125</v>
      </c>
      <c r="I7">
        <v>1.671572980759876</v>
      </c>
    </row>
    <row r="8" spans="1:11" x14ac:dyDescent="0.25">
      <c r="A8" s="27" t="s">
        <v>3</v>
      </c>
      <c r="B8">
        <v>393</v>
      </c>
      <c r="C8">
        <v>1950.4</v>
      </c>
      <c r="D8">
        <v>5.619806244188692</v>
      </c>
      <c r="E8">
        <v>57.4</v>
      </c>
      <c r="F8">
        <v>0.68637534273246648</v>
      </c>
      <c r="G8">
        <v>3.2901236882743068</v>
      </c>
      <c r="H8">
        <v>1.758911892397973</v>
      </c>
      <c r="I8">
        <v>1.746769070002661</v>
      </c>
    </row>
    <row r="9" spans="1:11" x14ac:dyDescent="0.25">
      <c r="A9" s="27" t="s">
        <v>3</v>
      </c>
      <c r="B9">
        <v>459</v>
      </c>
      <c r="C9">
        <v>2662.6</v>
      </c>
      <c r="D9">
        <v>4.9959983987187186</v>
      </c>
      <c r="E9">
        <v>63.1</v>
      </c>
      <c r="F9">
        <v>0.73711147958319934</v>
      </c>
      <c r="G9">
        <v>3.4253059276703191</v>
      </c>
      <c r="H9">
        <v>1.8000293592441341</v>
      </c>
      <c r="I9">
        <v>1.809850714088115</v>
      </c>
    </row>
    <row r="10" spans="1:11" x14ac:dyDescent="0.25">
      <c r="A10" s="27" t="s">
        <v>3</v>
      </c>
      <c r="B10">
        <v>524</v>
      </c>
      <c r="C10">
        <v>3464.1</v>
      </c>
      <c r="D10">
        <v>4.1000000000000014</v>
      </c>
      <c r="E10">
        <v>71.599999999999994</v>
      </c>
      <c r="F10">
        <v>0.74833147735478822</v>
      </c>
      <c r="G10">
        <v>3.5395904205339161</v>
      </c>
      <c r="H10">
        <v>1.854913022307856</v>
      </c>
      <c r="I10">
        <v>1.8631806022118711</v>
      </c>
    </row>
    <row r="11" spans="1:11" x14ac:dyDescent="0.25">
      <c r="A11" s="27" t="s">
        <v>3</v>
      </c>
      <c r="B11">
        <v>590</v>
      </c>
      <c r="C11">
        <v>4413.3</v>
      </c>
      <c r="D11">
        <v>7.7172965905598483</v>
      </c>
      <c r="E11">
        <v>80.5</v>
      </c>
      <c r="F11">
        <v>0.42817441928883759</v>
      </c>
      <c r="G11">
        <v>3.644763450201828</v>
      </c>
      <c r="H11">
        <v>1.905795880367869</v>
      </c>
      <c r="I11">
        <v>1.9122587034072851</v>
      </c>
    </row>
    <row r="12" spans="1:11" x14ac:dyDescent="0.25">
      <c r="A12" s="27" t="s">
        <v>3</v>
      </c>
      <c r="B12">
        <v>656</v>
      </c>
      <c r="C12">
        <v>5475.3</v>
      </c>
      <c r="D12">
        <v>2.4857370916669539</v>
      </c>
      <c r="E12">
        <v>89</v>
      </c>
      <c r="F12">
        <v>0.59628479399994383</v>
      </c>
      <c r="G12">
        <v>3.7384079198181208</v>
      </c>
      <c r="H12">
        <v>1.949390006644913</v>
      </c>
      <c r="I12">
        <v>1.955957099951827</v>
      </c>
    </row>
    <row r="13" spans="1:11" x14ac:dyDescent="0.25">
      <c r="A13" s="27" t="s">
        <v>4</v>
      </c>
      <c r="B13">
        <v>65</v>
      </c>
      <c r="C13">
        <v>49.5</v>
      </c>
      <c r="D13">
        <v>2.320201140705981</v>
      </c>
      <c r="E13">
        <v>11.7</v>
      </c>
      <c r="F13">
        <v>0.55876848714134031</v>
      </c>
      <c r="G13">
        <v>1.6946051989335691</v>
      </c>
      <c r="H13">
        <v>1.0681858617461619</v>
      </c>
      <c r="I13">
        <v>1.0567165444598361</v>
      </c>
    </row>
    <row r="14" spans="1:11" x14ac:dyDescent="0.25">
      <c r="A14" s="27" t="s">
        <v>4</v>
      </c>
      <c r="B14">
        <v>130</v>
      </c>
      <c r="C14">
        <v>197</v>
      </c>
      <c r="D14">
        <v>2.5647178748895119</v>
      </c>
      <c r="E14">
        <v>21.7</v>
      </c>
      <c r="F14">
        <v>0.86986589004665926</v>
      </c>
      <c r="G14">
        <v>2.2944662261615929</v>
      </c>
      <c r="H14">
        <v>1.33645973384853</v>
      </c>
      <c r="I14">
        <v>1.332620838320542</v>
      </c>
    </row>
    <row r="15" spans="1:11" x14ac:dyDescent="0.25">
      <c r="A15" s="27" t="s">
        <v>4</v>
      </c>
      <c r="B15">
        <v>196</v>
      </c>
      <c r="C15">
        <v>458</v>
      </c>
      <c r="D15">
        <v>4.6785562825393994</v>
      </c>
      <c r="E15">
        <v>30.7</v>
      </c>
      <c r="F15">
        <v>0.63333333333333341</v>
      </c>
      <c r="G15">
        <v>2.6608654780038692</v>
      </c>
      <c r="H15">
        <v>1.487138375477187</v>
      </c>
      <c r="I15">
        <v>1.50114508354077</v>
      </c>
    </row>
    <row r="16" spans="1:11" x14ac:dyDescent="0.25">
      <c r="A16" s="27" t="s">
        <v>4</v>
      </c>
      <c r="B16">
        <v>262</v>
      </c>
      <c r="C16">
        <v>815.1</v>
      </c>
      <c r="D16">
        <v>7.0228990531767641</v>
      </c>
      <c r="E16">
        <v>40.700000000000003</v>
      </c>
      <c r="F16">
        <v>0.74610097618664639</v>
      </c>
      <c r="G16">
        <v>2.9112108931375529</v>
      </c>
      <c r="H16">
        <v>1.6095944092252199</v>
      </c>
      <c r="I16">
        <v>1.6162907120255969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50.6</v>
      </c>
      <c r="F17">
        <v>0.87177978870813477</v>
      </c>
      <c r="G17">
        <v>3.1087679176780818</v>
      </c>
      <c r="H17">
        <v>1.704150516839799</v>
      </c>
      <c r="I17">
        <v>1.707156477392876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59.4</v>
      </c>
      <c r="F18">
        <v>0.6</v>
      </c>
      <c r="G18">
        <v>3.2649358217826849</v>
      </c>
      <c r="H18">
        <v>1.773786444981194</v>
      </c>
      <c r="I18">
        <v>1.7789854400190941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68.400000000000006</v>
      </c>
      <c r="F19">
        <v>0.93333333333333324</v>
      </c>
      <c r="G19">
        <v>3.3988250669622899</v>
      </c>
      <c r="H19">
        <v>1.8350561017201159</v>
      </c>
      <c r="I19">
        <v>1.840567399789885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77.5</v>
      </c>
      <c r="F20">
        <v>0.4533823502911814</v>
      </c>
      <c r="G20">
        <v>3.51955237207016</v>
      </c>
      <c r="H20">
        <v>1.8893017025063099</v>
      </c>
      <c r="I20">
        <v>1.8960955644039721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88.8</v>
      </c>
      <c r="F21">
        <v>0.46666666666666662</v>
      </c>
      <c r="G21">
        <v>3.6191037702724662</v>
      </c>
      <c r="H21">
        <v>1.9484129657786009</v>
      </c>
      <c r="I21">
        <v>1.941883933671396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98.4</v>
      </c>
      <c r="F22">
        <v>0.6863753427324667</v>
      </c>
      <c r="G22">
        <v>3.7093632564093162</v>
      </c>
      <c r="H22">
        <v>1.992995098431342</v>
      </c>
      <c r="I22">
        <v>1.9833985156436491</v>
      </c>
    </row>
    <row r="23" spans="1:9" x14ac:dyDescent="0.25">
      <c r="A23" s="27" t="s">
        <v>5</v>
      </c>
      <c r="B23">
        <v>65</v>
      </c>
      <c r="C23">
        <v>55.3</v>
      </c>
      <c r="D23">
        <v>2.2313423961572751</v>
      </c>
      <c r="E23">
        <v>11</v>
      </c>
      <c r="F23">
        <v>0.63245553203367588</v>
      </c>
      <c r="G23">
        <v>1.7427251313046981</v>
      </c>
      <c r="H23">
        <v>1.0413926851582249</v>
      </c>
      <c r="I23">
        <v>1.032507679674538</v>
      </c>
    </row>
    <row r="24" spans="1:9" x14ac:dyDescent="0.25">
      <c r="A24" s="27" t="s">
        <v>5</v>
      </c>
      <c r="B24">
        <v>130</v>
      </c>
      <c r="C24">
        <v>211.6</v>
      </c>
      <c r="D24">
        <v>4.3772137256478576</v>
      </c>
      <c r="E24">
        <v>20.5</v>
      </c>
      <c r="F24">
        <v>0.34156502553198659</v>
      </c>
      <c r="G24">
        <v>2.3255156633631482</v>
      </c>
      <c r="H24">
        <v>1.311753861055754</v>
      </c>
      <c r="I24">
        <v>1.305591312664973</v>
      </c>
    </row>
    <row r="25" spans="1:9" x14ac:dyDescent="0.25">
      <c r="A25" s="27" t="s">
        <v>5</v>
      </c>
      <c r="B25">
        <v>196</v>
      </c>
      <c r="C25">
        <v>478.7</v>
      </c>
      <c r="D25">
        <v>5.587784295526566</v>
      </c>
      <c r="E25">
        <v>29.1</v>
      </c>
      <c r="F25">
        <v>0.54670731556189089</v>
      </c>
      <c r="G25">
        <v>2.680063427481949</v>
      </c>
      <c r="H25">
        <v>1.4638929889859069</v>
      </c>
      <c r="I25">
        <v>1.4717250882982511</v>
      </c>
    </row>
    <row r="26" spans="1:9" x14ac:dyDescent="0.25">
      <c r="A26" s="27" t="s">
        <v>5</v>
      </c>
      <c r="B26">
        <v>262</v>
      </c>
      <c r="C26">
        <v>872.7</v>
      </c>
      <c r="D26">
        <v>5.3417641696769467</v>
      </c>
      <c r="E26">
        <v>39.1</v>
      </c>
      <c r="F26">
        <v>0.83599574693229672</v>
      </c>
      <c r="G26">
        <v>2.940864975966722</v>
      </c>
      <c r="H26">
        <v>1.5921767573958669</v>
      </c>
      <c r="I26">
        <v>1.593931319237174</v>
      </c>
    </row>
    <row r="27" spans="1:9" x14ac:dyDescent="0.25">
      <c r="A27" s="27" t="s">
        <v>5</v>
      </c>
      <c r="B27">
        <v>327</v>
      </c>
      <c r="C27">
        <v>1350.5</v>
      </c>
      <c r="D27">
        <v>5.814254514170802</v>
      </c>
      <c r="E27">
        <v>47</v>
      </c>
      <c r="F27">
        <v>0.57735026918962573</v>
      </c>
      <c r="G27">
        <v>3.1304945885234701</v>
      </c>
      <c r="H27">
        <v>1.672097857935718</v>
      </c>
      <c r="I27">
        <v>1.682787847734057</v>
      </c>
    </row>
    <row r="28" spans="1:9" x14ac:dyDescent="0.25">
      <c r="A28" s="27" t="s">
        <v>5</v>
      </c>
      <c r="B28">
        <v>393</v>
      </c>
      <c r="C28">
        <v>1956.9</v>
      </c>
      <c r="D28">
        <v>8.1846061467719871</v>
      </c>
      <c r="E28">
        <v>55.6</v>
      </c>
      <c r="F28">
        <v>0.52068331172711024</v>
      </c>
      <c r="G28">
        <v>3.2915686332421501</v>
      </c>
      <c r="H28">
        <v>1.745074791582057</v>
      </c>
      <c r="I28">
        <v>1.758263825624222</v>
      </c>
    </row>
    <row r="29" spans="1:9" x14ac:dyDescent="0.25">
      <c r="A29" s="27" t="s">
        <v>5</v>
      </c>
      <c r="B29">
        <v>458</v>
      </c>
      <c r="C29">
        <v>2651.9</v>
      </c>
      <c r="D29">
        <v>8.6106523175270127</v>
      </c>
      <c r="E29">
        <v>65.2</v>
      </c>
      <c r="F29">
        <v>0.69602043392737001</v>
      </c>
      <c r="G29">
        <v>3.423557143312292</v>
      </c>
      <c r="H29">
        <v>1.81424759573192</v>
      </c>
      <c r="I29">
        <v>1.820110921382007</v>
      </c>
    </row>
    <row r="30" spans="1:9" x14ac:dyDescent="0.25">
      <c r="A30" s="27" t="s">
        <v>5</v>
      </c>
      <c r="B30">
        <v>524</v>
      </c>
      <c r="C30">
        <v>3473</v>
      </c>
      <c r="D30">
        <v>6.7396010432533933</v>
      </c>
      <c r="E30">
        <v>74.7</v>
      </c>
      <c r="F30">
        <v>0.98938813864372188</v>
      </c>
      <c r="G30">
        <v>3.5407047833107619</v>
      </c>
      <c r="H30">
        <v>1.8733206018153989</v>
      </c>
      <c r="I30">
        <v>1.875003891269563</v>
      </c>
    </row>
    <row r="31" spans="1:9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84</v>
      </c>
      <c r="F31">
        <v>0.36514837167011072</v>
      </c>
      <c r="G31">
        <v>3.6432650997301961</v>
      </c>
      <c r="H31">
        <v>1.924279286061882</v>
      </c>
      <c r="I31">
        <v>1.923061541948176</v>
      </c>
    </row>
    <row r="32" spans="1:9" x14ac:dyDescent="0.25">
      <c r="A32" s="27" t="s">
        <v>5</v>
      </c>
      <c r="B32">
        <v>655</v>
      </c>
      <c r="C32">
        <v>5425.8</v>
      </c>
      <c r="D32">
        <v>7.5037768268163907</v>
      </c>
      <c r="E32">
        <v>95.2</v>
      </c>
      <c r="F32">
        <v>0.35901098714230018</v>
      </c>
      <c r="G32">
        <v>3.734463781224838</v>
      </c>
      <c r="H32">
        <v>1.9786369483844739</v>
      </c>
      <c r="I32">
        <v>1.9657953646452071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9</v>
      </c>
      <c r="F33">
        <v>0.33333333333333331</v>
      </c>
      <c r="G33">
        <v>1.697229342759718</v>
      </c>
      <c r="H33">
        <v>0.95424250943932487</v>
      </c>
      <c r="I33">
        <v>0.97075157678277413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19.600000000000001</v>
      </c>
      <c r="F34">
        <v>0.47609522856952341</v>
      </c>
      <c r="G34">
        <v>2.3291944150884509</v>
      </c>
      <c r="H34">
        <v>1.2922560713564759</v>
      </c>
      <c r="I34">
        <v>1.2661612437056791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26.5</v>
      </c>
      <c r="F35">
        <v>0.47726070210921168</v>
      </c>
      <c r="G35">
        <v>2.6724673130680818</v>
      </c>
      <c r="H35">
        <v>1.4232458739368079</v>
      </c>
      <c r="I35">
        <v>1.426622852892641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36</v>
      </c>
      <c r="F36">
        <v>0.53748384988656994</v>
      </c>
      <c r="G36">
        <v>2.9224140241456338</v>
      </c>
      <c r="H36">
        <v>1.556302500767287</v>
      </c>
      <c r="I36">
        <v>1.5434594913413671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42.4</v>
      </c>
      <c r="F37">
        <v>0.65319726474218076</v>
      </c>
      <c r="G37">
        <v>3.1161094140633439</v>
      </c>
      <c r="H37">
        <v>1.6273658565927329</v>
      </c>
      <c r="I37">
        <v>1.6340016638846131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50.9</v>
      </c>
      <c r="F38">
        <v>0.80897740663410633</v>
      </c>
      <c r="G38">
        <v>3.2727464112011901</v>
      </c>
      <c r="H38">
        <v>1.706717782336759</v>
      </c>
      <c r="I38">
        <v>1.7072210318186449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58.1</v>
      </c>
      <c r="F39">
        <v>0.84918261352379965</v>
      </c>
      <c r="G39">
        <v>3.4015039319216358</v>
      </c>
      <c r="H39">
        <v>1.7641761323903311</v>
      </c>
      <c r="I39">
        <v>1.7674082446493891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64.7</v>
      </c>
      <c r="F40">
        <v>0.49553562491061692</v>
      </c>
      <c r="G40">
        <v>3.5185665784431182</v>
      </c>
      <c r="H40">
        <v>1.8109042806686999</v>
      </c>
      <c r="I40">
        <v>1.822128733062768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73.400000000000006</v>
      </c>
      <c r="F41">
        <v>0.33993463423951897</v>
      </c>
      <c r="G41">
        <v>3.620531634720475</v>
      </c>
      <c r="H41">
        <v>1.865696059916071</v>
      </c>
      <c r="I41">
        <v>1.869791910398938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81.8</v>
      </c>
      <c r="F42">
        <v>0.66332495807107983</v>
      </c>
      <c r="G42">
        <v>3.7163039050168698</v>
      </c>
      <c r="H42">
        <v>1.9127533036713229</v>
      </c>
      <c r="I42">
        <v>1.9145602935066539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6A98-F0FD-4ECE-85FB-F0A28ED9F179}">
  <dimension ref="A1:U42"/>
  <sheetViews>
    <sheetView topLeftCell="A16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3.7109375" customWidth="1"/>
    <col min="3" max="6" width="9" bestFit="1" customWidth="1"/>
    <col min="7" max="7" width="12.140625" bestFit="1" customWidth="1"/>
    <col min="8" max="9" width="9" bestFit="1" customWidth="1"/>
    <col min="13" max="13" width="17.42578125" customWidth="1"/>
  </cols>
  <sheetData>
    <row r="1" spans="1:21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21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1"/>
    </row>
    <row r="3" spans="1:21" x14ac:dyDescent="0.25">
      <c r="A3" s="27" t="s">
        <v>3</v>
      </c>
      <c r="B3">
        <v>65</v>
      </c>
      <c r="C3">
        <v>53.9</v>
      </c>
      <c r="D3">
        <v>1.9174636024359539</v>
      </c>
      <c r="E3">
        <v>6.0070999999999999E-2</v>
      </c>
      <c r="F3">
        <v>2.236675832072627E-3</v>
      </c>
      <c r="G3">
        <v>1.731588765186739</v>
      </c>
      <c r="H3">
        <v>-1.2213351383062321</v>
      </c>
      <c r="I3">
        <v>-1.21265489211005</v>
      </c>
    </row>
    <row r="4" spans="1:21" x14ac:dyDescent="0.25">
      <c r="A4" s="27" t="s">
        <v>3</v>
      </c>
      <c r="B4">
        <v>131</v>
      </c>
      <c r="C4">
        <v>218.7</v>
      </c>
      <c r="D4">
        <v>4.1794470660337089</v>
      </c>
      <c r="E4">
        <v>1.5685999999999999E-2</v>
      </c>
      <c r="F4">
        <v>3.3205488167537082E-4</v>
      </c>
      <c r="G4">
        <v>2.3398487830376369</v>
      </c>
      <c r="H4">
        <v>-1.8044877893259279</v>
      </c>
      <c r="I4">
        <v>-1.810313726683723</v>
      </c>
    </row>
    <row r="5" spans="1:21" x14ac:dyDescent="0.25">
      <c r="A5" s="27" t="s">
        <v>3</v>
      </c>
      <c r="B5">
        <v>196</v>
      </c>
      <c r="C5">
        <v>480.2</v>
      </c>
      <c r="D5">
        <v>2.48461935381123</v>
      </c>
      <c r="E5">
        <v>7.1540000000000006E-3</v>
      </c>
      <c r="F5">
        <v>6.305553108173783E-5</v>
      </c>
      <c r="G5">
        <v>2.6814221557210089</v>
      </c>
      <c r="H5">
        <v>-2.145451064187049</v>
      </c>
      <c r="I5">
        <v>-2.1459339184573412</v>
      </c>
    </row>
    <row r="6" spans="1:21" x14ac:dyDescent="0.25">
      <c r="A6" s="27" t="s">
        <v>3</v>
      </c>
      <c r="B6">
        <v>262</v>
      </c>
      <c r="C6">
        <v>862.5</v>
      </c>
      <c r="D6">
        <v>4.7755162606314672</v>
      </c>
      <c r="E6">
        <v>4.0489999999999996E-3</v>
      </c>
      <c r="F6">
        <v>2.8301943396169769E-5</v>
      </c>
      <c r="G6">
        <v>2.9357591037453119</v>
      </c>
      <c r="H6">
        <v>-2.392652223231587</v>
      </c>
      <c r="I6">
        <v>-2.3958381033194329</v>
      </c>
    </row>
    <row r="7" spans="1:21" s="1" customFormat="1" x14ac:dyDescent="0.25">
      <c r="A7" s="27" t="s">
        <v>3</v>
      </c>
      <c r="B7">
        <v>328</v>
      </c>
      <c r="C7">
        <v>1345.8</v>
      </c>
      <c r="D7">
        <v>5.6819402007100033</v>
      </c>
      <c r="E7">
        <v>2.614E-3</v>
      </c>
      <c r="F7">
        <v>1.6411378166788241E-5</v>
      </c>
      <c r="G7">
        <v>3.1289805239666109</v>
      </c>
      <c r="H7">
        <v>-2.5826944167554751</v>
      </c>
      <c r="I7">
        <v>-2.5856919247692578</v>
      </c>
    </row>
    <row r="8" spans="1:21" x14ac:dyDescent="0.25">
      <c r="A8" s="27" t="s">
        <v>3</v>
      </c>
      <c r="B8">
        <v>393</v>
      </c>
      <c r="C8">
        <v>1950.4</v>
      </c>
      <c r="D8">
        <v>5.619806244188692</v>
      </c>
      <c r="E8">
        <v>1.8140000000000001E-3</v>
      </c>
      <c r="F8">
        <v>7.7746025264604083E-6</v>
      </c>
      <c r="G8">
        <v>3.2901236882743068</v>
      </c>
      <c r="H8">
        <v>-2.7413627172759241</v>
      </c>
      <c r="I8">
        <v>-2.744026572704739</v>
      </c>
    </row>
    <row r="9" spans="1:21" x14ac:dyDescent="0.25">
      <c r="A9" s="27" t="s">
        <v>3</v>
      </c>
      <c r="B9">
        <v>459</v>
      </c>
      <c r="C9">
        <v>2662.6</v>
      </c>
      <c r="D9">
        <v>4.9959983987187186</v>
      </c>
      <c r="E9">
        <v>1.3370000000000001E-3</v>
      </c>
      <c r="F9">
        <v>3.349958540373639E-6</v>
      </c>
      <c r="G9">
        <v>3.4253059276703191</v>
      </c>
      <c r="H9">
        <v>-2.873868592738015</v>
      </c>
      <c r="I9">
        <v>-2.8768527609818122</v>
      </c>
    </row>
    <row r="10" spans="1:21" x14ac:dyDescent="0.25">
      <c r="A10" s="27" t="s">
        <v>3</v>
      </c>
      <c r="B10">
        <v>524</v>
      </c>
      <c r="C10">
        <v>3464.1</v>
      </c>
      <c r="D10">
        <v>4.1000000000000014</v>
      </c>
      <c r="E10">
        <v>1.031E-3</v>
      </c>
      <c r="F10">
        <v>1.7950549357114819E-6</v>
      </c>
      <c r="G10">
        <v>3.5395904205339161</v>
      </c>
      <c r="H10">
        <v>-2.9867413347164828</v>
      </c>
      <c r="I10">
        <v>-2.989145423346879</v>
      </c>
      <c r="K10" s="1"/>
    </row>
    <row r="11" spans="1:21" x14ac:dyDescent="0.25">
      <c r="A11" s="27" t="s">
        <v>3</v>
      </c>
      <c r="B11">
        <v>590</v>
      </c>
      <c r="C11">
        <v>4413.3</v>
      </c>
      <c r="D11">
        <v>7.7172965905598483</v>
      </c>
      <c r="E11">
        <v>8.070000000000001E-4</v>
      </c>
      <c r="F11">
        <v>1.5275252316519341E-6</v>
      </c>
      <c r="G11">
        <v>3.644763450201828</v>
      </c>
      <c r="H11">
        <v>-3.0931264652779289</v>
      </c>
      <c r="I11">
        <v>-3.0924854235033838</v>
      </c>
      <c r="J11" s="1"/>
      <c r="K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27" t="s">
        <v>3</v>
      </c>
      <c r="B12">
        <v>656</v>
      </c>
      <c r="C12">
        <v>5475.3</v>
      </c>
      <c r="D12">
        <v>2.4857370916669539</v>
      </c>
      <c r="E12">
        <v>6.5099999999999989E-4</v>
      </c>
      <c r="F12">
        <v>1.0000000000000021E-6</v>
      </c>
      <c r="G12">
        <v>3.7384079198181208</v>
      </c>
      <c r="H12">
        <v>-3.1864190114318078</v>
      </c>
      <c r="I12">
        <v>-3.184497791458929</v>
      </c>
    </row>
    <row r="13" spans="1:21" x14ac:dyDescent="0.25">
      <c r="A13" s="27" t="s">
        <v>4</v>
      </c>
      <c r="B13">
        <v>65</v>
      </c>
      <c r="C13">
        <v>49.5</v>
      </c>
      <c r="D13">
        <v>2.320201140705981</v>
      </c>
      <c r="E13">
        <v>5.9878999999999988E-2</v>
      </c>
      <c r="F13">
        <v>2.7254591662078998E-3</v>
      </c>
      <c r="G13">
        <v>1.6946051989335691</v>
      </c>
      <c r="H13">
        <v>-1.2227254611364049</v>
      </c>
      <c r="I13">
        <v>-1.214884568265671</v>
      </c>
      <c r="J13" s="1"/>
    </row>
    <row r="14" spans="1:21" x14ac:dyDescent="0.25">
      <c r="A14" s="27" t="s">
        <v>4</v>
      </c>
      <c r="B14">
        <v>130</v>
      </c>
      <c r="C14">
        <v>197</v>
      </c>
      <c r="D14">
        <v>2.5647178748895119</v>
      </c>
      <c r="E14">
        <v>1.5838999999999999E-2</v>
      </c>
      <c r="F14">
        <v>4.2207806018423752E-4</v>
      </c>
      <c r="G14">
        <v>2.2944662261615929</v>
      </c>
      <c r="H14">
        <v>-1.8002722411929439</v>
      </c>
      <c r="I14">
        <v>-1.8039271867889879</v>
      </c>
    </row>
    <row r="15" spans="1:21" x14ac:dyDescent="0.25">
      <c r="A15" s="27" t="s">
        <v>4</v>
      </c>
      <c r="B15">
        <v>196</v>
      </c>
      <c r="C15">
        <v>458</v>
      </c>
      <c r="D15">
        <v>4.6785562825393994</v>
      </c>
      <c r="E15">
        <v>6.9230000000000003E-3</v>
      </c>
      <c r="F15">
        <v>7.7201755881010299E-5</v>
      </c>
      <c r="G15">
        <v>2.6608654780038692</v>
      </c>
      <c r="H15">
        <v>-2.1597056683885638</v>
      </c>
      <c r="I15">
        <v>-2.1637184799948348</v>
      </c>
      <c r="J15" s="1"/>
      <c r="M15" s="4"/>
      <c r="N15" s="5"/>
      <c r="O15" s="5"/>
      <c r="P15" s="5"/>
      <c r="Q15" s="5"/>
      <c r="R15" s="5"/>
      <c r="S15" s="5"/>
      <c r="T15" s="5"/>
      <c r="U15" s="2"/>
    </row>
    <row r="16" spans="1:21" x14ac:dyDescent="0.25">
      <c r="A16" s="27" t="s">
        <v>4</v>
      </c>
      <c r="B16">
        <v>262</v>
      </c>
      <c r="C16">
        <v>815.1</v>
      </c>
      <c r="D16">
        <v>7.0228990531767641</v>
      </c>
      <c r="E16">
        <v>3.9429999999999986E-3</v>
      </c>
      <c r="F16">
        <v>2.9554093531090491E-5</v>
      </c>
      <c r="G16">
        <v>2.9112108931375529</v>
      </c>
      <c r="H16">
        <v>-2.4041732229267772</v>
      </c>
      <c r="I16">
        <v>-2.4095489510075772</v>
      </c>
      <c r="J16" s="1"/>
    </row>
    <row r="17" spans="1:21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2.496E-3</v>
      </c>
      <c r="F17">
        <v>1.851125783588643E-5</v>
      </c>
      <c r="G17">
        <v>3.1087679176780818</v>
      </c>
      <c r="H17">
        <v>-2.6027554189896138</v>
      </c>
      <c r="I17">
        <v>-2.603543062578344</v>
      </c>
    </row>
    <row r="18" spans="1:21" x14ac:dyDescent="0.25">
      <c r="A18" s="27" t="s">
        <v>4</v>
      </c>
      <c r="B18">
        <v>393</v>
      </c>
      <c r="C18">
        <v>1840.5</v>
      </c>
      <c r="D18">
        <v>5.0799168847093892</v>
      </c>
      <c r="E18">
        <v>1.751E-3</v>
      </c>
      <c r="F18">
        <v>7.3711147958319897E-6</v>
      </c>
      <c r="G18">
        <v>3.2649358217826849</v>
      </c>
      <c r="H18">
        <v>-2.7567138539165539</v>
      </c>
      <c r="I18">
        <v>-2.7568945006408572</v>
      </c>
    </row>
    <row r="19" spans="1:21" x14ac:dyDescent="0.25">
      <c r="A19" s="27" t="s">
        <v>4</v>
      </c>
      <c r="B19">
        <v>458</v>
      </c>
      <c r="C19">
        <v>2505.1</v>
      </c>
      <c r="D19">
        <v>6.680735155820968</v>
      </c>
      <c r="E19">
        <v>1.294E-3</v>
      </c>
      <c r="F19">
        <v>3.399346342395179E-6</v>
      </c>
      <c r="G19">
        <v>3.3988250669622899</v>
      </c>
      <c r="H19">
        <v>-2.8880657236673191</v>
      </c>
      <c r="I19">
        <v>-2.8883690722381301</v>
      </c>
    </row>
    <row r="20" spans="1:21" x14ac:dyDescent="0.25">
      <c r="A20" s="27" t="s">
        <v>4</v>
      </c>
      <c r="B20">
        <v>524</v>
      </c>
      <c r="C20">
        <v>3307.9</v>
      </c>
      <c r="D20">
        <v>4.9181071336214064</v>
      </c>
      <c r="E20">
        <v>9.8799999999999995E-4</v>
      </c>
      <c r="F20">
        <v>3.5901098714229998E-6</v>
      </c>
      <c r="G20">
        <v>3.51955237207016</v>
      </c>
      <c r="H20">
        <v>-3.0052430554123721</v>
      </c>
      <c r="I20">
        <v>-3.006919077489548</v>
      </c>
      <c r="J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7.8600000000000002E-4</v>
      </c>
      <c r="F21">
        <v>1.632993161855456E-6</v>
      </c>
      <c r="G21">
        <v>3.6191037702724662</v>
      </c>
      <c r="H21">
        <v>-3.1045774539605921</v>
      </c>
      <c r="I21">
        <v>-3.104675080318605</v>
      </c>
    </row>
    <row r="22" spans="1:21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6.3700000000000009E-4</v>
      </c>
      <c r="F22">
        <v>1.527525231651951E-6</v>
      </c>
      <c r="G22">
        <v>3.7093632564093162</v>
      </c>
      <c r="H22">
        <v>-3.1958605676646501</v>
      </c>
      <c r="I22">
        <v>-3.1933067494008651</v>
      </c>
    </row>
    <row r="23" spans="1:21" x14ac:dyDescent="0.25">
      <c r="A23" s="27" t="s">
        <v>5</v>
      </c>
      <c r="B23">
        <v>65</v>
      </c>
      <c r="C23">
        <v>55.3</v>
      </c>
      <c r="D23">
        <v>2.2313423961572751</v>
      </c>
      <c r="E23">
        <v>5.7519000000000001E-2</v>
      </c>
      <c r="F23">
        <v>1.824792499619249E-3</v>
      </c>
      <c r="G23">
        <v>1.7427251313046981</v>
      </c>
      <c r="H23">
        <v>-1.240188673012119</v>
      </c>
      <c r="I23">
        <v>-1.231432449729323</v>
      </c>
    </row>
    <row r="24" spans="1:21" x14ac:dyDescent="0.25">
      <c r="A24" s="27" t="s">
        <v>5</v>
      </c>
      <c r="B24">
        <v>130</v>
      </c>
      <c r="C24">
        <v>211.6</v>
      </c>
      <c r="D24">
        <v>4.3772137256478576</v>
      </c>
      <c r="E24">
        <v>1.5918000000000002E-2</v>
      </c>
      <c r="F24">
        <v>3.9975770439382667E-4</v>
      </c>
      <c r="G24">
        <v>2.3255156633631482</v>
      </c>
      <c r="H24">
        <v>-1.7981114996340271</v>
      </c>
      <c r="I24">
        <v>-1.8023937824044189</v>
      </c>
      <c r="M24" s="19"/>
      <c r="N24" s="19"/>
      <c r="O24" s="19"/>
      <c r="P24" s="19"/>
      <c r="Q24" s="19"/>
      <c r="R24" s="19"/>
      <c r="S24" s="19"/>
      <c r="T24" s="19"/>
    </row>
    <row r="25" spans="1:21" x14ac:dyDescent="0.25">
      <c r="A25" s="27" t="s">
        <v>5</v>
      </c>
      <c r="B25">
        <v>196</v>
      </c>
      <c r="C25">
        <v>478.7</v>
      </c>
      <c r="D25">
        <v>5.587784295526566</v>
      </c>
      <c r="E25">
        <v>7.0930000000000003E-3</v>
      </c>
      <c r="F25">
        <v>1.1265532487291589E-4</v>
      </c>
      <c r="G25">
        <v>2.680063427481949</v>
      </c>
      <c r="H25">
        <v>-2.1491700401514691</v>
      </c>
      <c r="I25">
        <v>-2.1497451080741081</v>
      </c>
      <c r="J25" s="2"/>
      <c r="N25" s="5"/>
      <c r="O25" s="5"/>
      <c r="P25" s="5"/>
      <c r="Q25" s="5"/>
      <c r="R25" s="5"/>
      <c r="S25" s="5"/>
      <c r="T25" s="5"/>
      <c r="U25" s="2"/>
    </row>
    <row r="26" spans="1:21" x14ac:dyDescent="0.25">
      <c r="A26" s="27" t="s">
        <v>5</v>
      </c>
      <c r="B26">
        <v>262</v>
      </c>
      <c r="C26">
        <v>872.7</v>
      </c>
      <c r="D26">
        <v>5.3417641696769467</v>
      </c>
      <c r="E26">
        <v>3.9850000000000007E-3</v>
      </c>
      <c r="F26">
        <v>3.4001633947666533E-5</v>
      </c>
      <c r="G26">
        <v>2.940864975966722</v>
      </c>
      <c r="H26">
        <v>-2.399571674267869</v>
      </c>
      <c r="I26">
        <v>-2.4052530332983642</v>
      </c>
    </row>
    <row r="27" spans="1:21" x14ac:dyDescent="0.25">
      <c r="A27" s="27" t="s">
        <v>5</v>
      </c>
      <c r="B27">
        <v>327</v>
      </c>
      <c r="C27">
        <v>1350.5</v>
      </c>
      <c r="D27">
        <v>5.814254514170802</v>
      </c>
      <c r="E27">
        <v>2.5950000000000001E-3</v>
      </c>
      <c r="F27">
        <v>9.6896279024990703E-6</v>
      </c>
      <c r="G27">
        <v>3.1304945885234701</v>
      </c>
      <c r="H27">
        <v>-2.5858626378155232</v>
      </c>
      <c r="I27">
        <v>-2.59103363600933</v>
      </c>
    </row>
    <row r="28" spans="1:21" x14ac:dyDescent="0.25">
      <c r="A28" s="27" t="s">
        <v>5</v>
      </c>
      <c r="B28">
        <v>393</v>
      </c>
      <c r="C28">
        <v>1956.9</v>
      </c>
      <c r="D28">
        <v>8.1846061467719871</v>
      </c>
      <c r="E28">
        <v>1.7949999999999999E-3</v>
      </c>
      <c r="F28">
        <v>6.1913918736688953E-6</v>
      </c>
      <c r="G28">
        <v>3.2915686332421501</v>
      </c>
      <c r="H28">
        <v>-2.7459355470856619</v>
      </c>
      <c r="I28">
        <v>-2.7488382779397891</v>
      </c>
    </row>
    <row r="29" spans="1:21" x14ac:dyDescent="0.25">
      <c r="A29" s="27" t="s">
        <v>5</v>
      </c>
      <c r="B29">
        <v>458</v>
      </c>
      <c r="C29">
        <v>2651.9</v>
      </c>
      <c r="D29">
        <v>8.6106523175270127</v>
      </c>
      <c r="E29">
        <v>1.33E-3</v>
      </c>
      <c r="F29">
        <v>3.3333333333333418E-6</v>
      </c>
      <c r="G29">
        <v>3.423557143312292</v>
      </c>
      <c r="H29">
        <v>-2.8761483590329142</v>
      </c>
      <c r="I29">
        <v>-2.8781477492883911</v>
      </c>
    </row>
    <row r="30" spans="1:21" x14ac:dyDescent="0.25">
      <c r="A30" s="27" t="s">
        <v>5</v>
      </c>
      <c r="B30">
        <v>524</v>
      </c>
      <c r="C30">
        <v>3473</v>
      </c>
      <c r="D30">
        <v>6.7396010432533933</v>
      </c>
      <c r="E30">
        <v>1.016E-3</v>
      </c>
      <c r="F30">
        <v>1.632993161855456E-6</v>
      </c>
      <c r="G30">
        <v>3.5407047833107619</v>
      </c>
      <c r="H30">
        <v>-2.993106292052099</v>
      </c>
      <c r="I30">
        <v>-2.9929175833435551</v>
      </c>
    </row>
    <row r="31" spans="1:21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8.0200000000000009E-4</v>
      </c>
      <c r="F31">
        <v>1.333333333333322E-6</v>
      </c>
      <c r="G31">
        <v>3.6432650997301961</v>
      </c>
      <c r="H31">
        <v>-3.095825631715837</v>
      </c>
      <c r="I31">
        <v>-3.093396180234258</v>
      </c>
    </row>
    <row r="32" spans="1:21" x14ac:dyDescent="0.25">
      <c r="A32" s="27" t="s">
        <v>5</v>
      </c>
      <c r="B32">
        <v>655</v>
      </c>
      <c r="C32">
        <v>5425.8</v>
      </c>
      <c r="D32">
        <v>7.5037768268163907</v>
      </c>
      <c r="E32">
        <v>6.5399999999999996E-4</v>
      </c>
      <c r="F32">
        <v>1.632993161855456E-6</v>
      </c>
      <c r="G32">
        <v>3.734463781224838</v>
      </c>
      <c r="H32">
        <v>-3.1844222516757328</v>
      </c>
      <c r="I32">
        <v>-3.1827437551519129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6.9838999999999998E-2</v>
      </c>
      <c r="F33">
        <v>2.1505489996742691E-3</v>
      </c>
      <c r="G33">
        <v>1.697229342759718</v>
      </c>
      <c r="H33">
        <v>-1.155901987767423</v>
      </c>
      <c r="I33">
        <v>-1.159694323071728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1.6330999999999998E-2</v>
      </c>
      <c r="F34">
        <v>2.705732597447295E-4</v>
      </c>
      <c r="G34">
        <v>2.3291944150884509</v>
      </c>
      <c r="H34">
        <v>-1.786987221191991</v>
      </c>
      <c r="I34">
        <v>-1.7808596489171771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7.5839999999999996E-3</v>
      </c>
      <c r="F35">
        <v>9.7241966249145758E-5</v>
      </c>
      <c r="G35">
        <v>2.6724673130680818</v>
      </c>
      <c r="H35">
        <v>-2.1201016756699902</v>
      </c>
      <c r="I35">
        <v>-2.118266304544044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4.2679999999999992E-3</v>
      </c>
      <c r="F36">
        <v>2.8276413413931349E-5</v>
      </c>
      <c r="G36">
        <v>2.9224140241456338</v>
      </c>
      <c r="H36">
        <v>-2.3697755892475678</v>
      </c>
      <c r="I36">
        <v>-2.363941638559536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2.8189999999999999E-3</v>
      </c>
      <c r="F37">
        <v>2.046406063756111E-5</v>
      </c>
      <c r="G37">
        <v>3.1161094140633439</v>
      </c>
      <c r="H37">
        <v>-2.549904924128398</v>
      </c>
      <c r="I37">
        <v>-2.5543269387306968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1.9840000000000001E-3</v>
      </c>
      <c r="F38">
        <v>9.7979589711327135E-6</v>
      </c>
      <c r="G38">
        <v>3.2727464112011901</v>
      </c>
      <c r="H38">
        <v>-2.7024583321818398</v>
      </c>
      <c r="I38">
        <v>-2.708287142588246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1.4710000000000001E-3</v>
      </c>
      <c r="F39">
        <v>5.2599112793531646E-6</v>
      </c>
      <c r="G39">
        <v>3.4015039319216358</v>
      </c>
      <c r="H39">
        <v>-2.8323873272724698</v>
      </c>
      <c r="I39">
        <v>-2.8348443066078501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1.127E-3</v>
      </c>
      <c r="F40">
        <v>3.666666666666653E-6</v>
      </c>
      <c r="G40">
        <v>3.5185665784431182</v>
      </c>
      <c r="H40">
        <v>-2.948076083953894</v>
      </c>
      <c r="I40">
        <v>-2.9499064518984079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8.9199999999999989E-4</v>
      </c>
      <c r="F41">
        <v>1.9999999999999978E-6</v>
      </c>
      <c r="G41">
        <v>3.620531634720475</v>
      </c>
      <c r="H41">
        <v>-3.0496351456238768</v>
      </c>
      <c r="I41">
        <v>-3.0501290119427198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7.1699999999999997E-4</v>
      </c>
      <c r="F42">
        <v>1.527525231651951E-6</v>
      </c>
      <c r="G42">
        <v>3.7163039050168698</v>
      </c>
      <c r="H42">
        <v>-3.1444808443321999</v>
      </c>
      <c r="I42">
        <v>-3.1442646154601759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8F90-1399-4559-8642-02E0AC650D8E}">
  <dimension ref="A1:AC43"/>
  <sheetViews>
    <sheetView topLeftCell="A22" zoomScale="150" zoomScaleNormal="150" workbookViewId="0">
      <selection activeCell="A44" sqref="A44:XFD44"/>
    </sheetView>
  </sheetViews>
  <sheetFormatPr defaultColWidth="8.85546875" defaultRowHeight="15" x14ac:dyDescent="0.25"/>
  <cols>
    <col min="1" max="1" width="11.7109375" customWidth="1"/>
    <col min="2" max="2" width="10.140625" style="6" customWidth="1"/>
    <col min="3" max="3" width="10.85546875" style="6" customWidth="1"/>
    <col min="4" max="5" width="10.42578125" style="6" customWidth="1"/>
    <col min="6" max="13" width="9.42578125" style="7" customWidth="1"/>
    <col min="14" max="17" width="9.140625" style="8"/>
    <col min="18" max="21" width="9.140625" style="9"/>
    <col min="22" max="25" width="9.42578125" style="7" customWidth="1"/>
    <col min="26" max="29" width="9.140625" style="10"/>
  </cols>
  <sheetData>
    <row r="1" spans="1:2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29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14"/>
      <c r="K2" s="14"/>
      <c r="L2" s="14"/>
      <c r="M2" s="14"/>
      <c r="V2" s="16"/>
      <c r="W2" s="16"/>
      <c r="X2" s="16"/>
      <c r="Y2" s="16"/>
    </row>
    <row r="3" spans="1:29" s="1" customFormat="1" x14ac:dyDescent="0.25">
      <c r="A3" s="27" t="s">
        <v>3</v>
      </c>
      <c r="B3">
        <v>65</v>
      </c>
      <c r="C3">
        <v>53.9</v>
      </c>
      <c r="D3">
        <v>1.9174636024359539</v>
      </c>
      <c r="E3">
        <v>7.0045999999999997E-2</v>
      </c>
      <c r="F3">
        <v>2.3100174121517881E-3</v>
      </c>
      <c r="G3">
        <v>1.731588765186739</v>
      </c>
      <c r="H3">
        <v>-1.154616660200158</v>
      </c>
      <c r="I3">
        <v>-1.157428682441286</v>
      </c>
      <c r="J3" s="15"/>
      <c r="K3" s="15"/>
      <c r="L3" s="15"/>
      <c r="M3" s="15"/>
      <c r="N3" s="3"/>
      <c r="O3" s="3"/>
      <c r="P3" s="3"/>
      <c r="Q3" s="3"/>
      <c r="R3" s="18"/>
      <c r="S3" s="18"/>
      <c r="T3" s="18"/>
      <c r="U3" s="18"/>
      <c r="V3" s="17"/>
      <c r="W3" s="17"/>
      <c r="X3" s="17"/>
      <c r="Y3" s="17"/>
      <c r="Z3" s="13"/>
      <c r="AA3" s="13"/>
      <c r="AB3" s="13"/>
      <c r="AC3" s="13"/>
    </row>
    <row r="4" spans="1:29" x14ac:dyDescent="0.25">
      <c r="A4" s="27" t="s">
        <v>3</v>
      </c>
      <c r="B4">
        <v>131</v>
      </c>
      <c r="C4">
        <v>218.7</v>
      </c>
      <c r="D4">
        <v>4.1794470660337089</v>
      </c>
      <c r="E4">
        <v>3.2726999999999992E-2</v>
      </c>
      <c r="F4">
        <v>3.3058550751322648E-4</v>
      </c>
      <c r="G4">
        <v>2.3398487830376369</v>
      </c>
      <c r="H4">
        <v>-1.4850938035267001</v>
      </c>
      <c r="I4">
        <v>-1.4781681610696109</v>
      </c>
      <c r="J4" s="14"/>
      <c r="K4" s="14"/>
      <c r="L4" s="14"/>
      <c r="M4" s="14"/>
      <c r="V4" s="16"/>
      <c r="W4" s="16"/>
      <c r="X4" s="16"/>
      <c r="Y4" s="16"/>
    </row>
    <row r="5" spans="1:29" x14ac:dyDescent="0.25">
      <c r="A5" s="27" t="s">
        <v>3</v>
      </c>
      <c r="B5">
        <v>196</v>
      </c>
      <c r="C5">
        <v>480.2</v>
      </c>
      <c r="D5">
        <v>2.48461935381123</v>
      </c>
      <c r="E5">
        <v>2.2415000000000001E-2</v>
      </c>
      <c r="F5">
        <v>2.3995948732141351E-4</v>
      </c>
      <c r="G5">
        <v>2.6814221557210089</v>
      </c>
      <c r="H5">
        <v>-1.649461256798189</v>
      </c>
      <c r="I5">
        <v>-1.6582820305540229</v>
      </c>
      <c r="J5" s="14"/>
      <c r="K5" s="14"/>
      <c r="L5" s="14"/>
      <c r="M5" s="14"/>
      <c r="V5" s="16"/>
      <c r="W5" s="16"/>
      <c r="X5" s="16"/>
      <c r="Y5" s="16"/>
    </row>
    <row r="6" spans="1:29" x14ac:dyDescent="0.25">
      <c r="A6" s="27" t="s">
        <v>3</v>
      </c>
      <c r="B6">
        <v>262</v>
      </c>
      <c r="C6">
        <v>862.5</v>
      </c>
      <c r="D6">
        <v>4.7755162606314672</v>
      </c>
      <c r="E6">
        <v>1.6105999999999999E-2</v>
      </c>
      <c r="F6">
        <v>8.7866059684296963E-5</v>
      </c>
      <c r="G6">
        <v>2.9357591037453119</v>
      </c>
      <c r="H6">
        <v>-1.793012305243592</v>
      </c>
      <c r="I6">
        <v>-1.7923955637654581</v>
      </c>
      <c r="J6" s="14"/>
      <c r="K6" s="14"/>
      <c r="L6" s="14"/>
      <c r="M6" s="14"/>
      <c r="V6" s="16"/>
      <c r="W6" s="16"/>
      <c r="X6" s="16"/>
      <c r="Y6" s="16"/>
    </row>
    <row r="7" spans="1:29" x14ac:dyDescent="0.25">
      <c r="A7" s="27" t="s">
        <v>3</v>
      </c>
      <c r="B7">
        <v>328</v>
      </c>
      <c r="C7">
        <v>1345.8</v>
      </c>
      <c r="D7">
        <v>5.6819402007100033</v>
      </c>
      <c r="E7">
        <v>1.2688E-2</v>
      </c>
      <c r="F7">
        <v>7.8709028142336492E-5</v>
      </c>
      <c r="G7">
        <v>3.1289805239666109</v>
      </c>
      <c r="H7">
        <v>-1.8966068300264709</v>
      </c>
      <c r="I7">
        <v>-1.894282480154553</v>
      </c>
      <c r="J7" s="14"/>
      <c r="K7" s="14"/>
      <c r="L7" s="14"/>
      <c r="M7" s="14"/>
      <c r="V7" s="16"/>
      <c r="W7" s="16"/>
      <c r="X7" s="16"/>
      <c r="Y7" s="16"/>
    </row>
    <row r="8" spans="1:29" s="1" customFormat="1" x14ac:dyDescent="0.25">
      <c r="A8" s="27" t="s">
        <v>3</v>
      </c>
      <c r="B8">
        <v>393</v>
      </c>
      <c r="C8">
        <v>1950.4</v>
      </c>
      <c r="D8">
        <v>5.619806244188692</v>
      </c>
      <c r="E8">
        <v>1.0531E-2</v>
      </c>
      <c r="F8">
        <v>2.7424644229435522E-5</v>
      </c>
      <c r="G8">
        <v>3.2901236882743068</v>
      </c>
      <c r="H8">
        <v>-1.977530387232231</v>
      </c>
      <c r="I8">
        <v>-1.9792543227674899</v>
      </c>
      <c r="J8" s="15"/>
      <c r="K8" s="15"/>
      <c r="L8" s="15"/>
      <c r="M8" s="15"/>
      <c r="N8" s="11"/>
      <c r="O8" s="11"/>
      <c r="P8" s="11"/>
      <c r="Q8" s="11"/>
      <c r="R8" s="12"/>
      <c r="S8" s="12"/>
      <c r="T8" s="12"/>
      <c r="U8" s="12"/>
      <c r="V8" s="17"/>
      <c r="W8" s="17"/>
      <c r="X8" s="17"/>
      <c r="Y8" s="17"/>
      <c r="Z8" s="13"/>
      <c r="AA8" s="13"/>
      <c r="AB8" s="13"/>
      <c r="AC8" s="13"/>
    </row>
    <row r="9" spans="1:29" x14ac:dyDescent="0.25">
      <c r="A9" s="27" t="s">
        <v>3</v>
      </c>
      <c r="B9">
        <v>459</v>
      </c>
      <c r="C9">
        <v>2662.6</v>
      </c>
      <c r="D9">
        <v>4.9959983987187186</v>
      </c>
      <c r="E9">
        <v>8.8640000000000004E-3</v>
      </c>
      <c r="F9">
        <v>2.625515822335361E-5</v>
      </c>
      <c r="G9">
        <v>3.4253059276703191</v>
      </c>
      <c r="H9">
        <v>-2.052370252615646</v>
      </c>
      <c r="I9">
        <v>-2.0505368001804869</v>
      </c>
    </row>
    <row r="10" spans="1:29" x14ac:dyDescent="0.25">
      <c r="A10" s="27" t="s">
        <v>3</v>
      </c>
      <c r="B10">
        <v>524</v>
      </c>
      <c r="C10">
        <v>3464.1</v>
      </c>
      <c r="D10">
        <v>4.1000000000000014</v>
      </c>
      <c r="E10">
        <v>7.6649999999999999E-3</v>
      </c>
      <c r="F10">
        <v>2.44608530786098E-5</v>
      </c>
      <c r="G10">
        <v>3.5395904205339161</v>
      </c>
      <c r="H10">
        <v>-2.1154878408096058</v>
      </c>
      <c r="I10">
        <v>-2.1107997594094758</v>
      </c>
    </row>
    <row r="11" spans="1:29" x14ac:dyDescent="0.25">
      <c r="A11" s="27" t="s">
        <v>3</v>
      </c>
      <c r="B11">
        <v>590</v>
      </c>
      <c r="C11">
        <v>4413.3</v>
      </c>
      <c r="D11">
        <v>7.7172965905598483</v>
      </c>
      <c r="E11">
        <v>6.7539999999999987E-3</v>
      </c>
      <c r="F11">
        <v>1.034944979750663E-5</v>
      </c>
      <c r="G11">
        <v>3.644763450201828</v>
      </c>
      <c r="H11">
        <v>-2.1704389437006069</v>
      </c>
      <c r="I11">
        <v>-2.1662581846083468</v>
      </c>
    </row>
    <row r="12" spans="1:29" x14ac:dyDescent="0.25">
      <c r="A12" s="27" t="s">
        <v>3</v>
      </c>
      <c r="B12">
        <v>656</v>
      </c>
      <c r="C12">
        <v>5475.3</v>
      </c>
      <c r="D12">
        <v>2.4857370916669539</v>
      </c>
      <c r="E12">
        <v>6.0280000000000004E-3</v>
      </c>
      <c r="F12">
        <v>4.163331998932285E-6</v>
      </c>
      <c r="G12">
        <v>3.7384079198181208</v>
      </c>
      <c r="H12">
        <v>-2.2198267563574059</v>
      </c>
      <c r="I12">
        <v>-2.2156375248241922</v>
      </c>
    </row>
    <row r="13" spans="1:29" x14ac:dyDescent="0.25">
      <c r="A13" s="27" t="s">
        <v>4</v>
      </c>
      <c r="B13">
        <v>65</v>
      </c>
      <c r="C13">
        <v>49.5</v>
      </c>
      <c r="D13">
        <v>2.320201140705981</v>
      </c>
      <c r="E13">
        <v>8.6638999999999994E-2</v>
      </c>
      <c r="F13">
        <v>5.010352715461591E-3</v>
      </c>
      <c r="G13">
        <v>1.6946051989335691</v>
      </c>
      <c r="H13">
        <v>-1.0622865690441889</v>
      </c>
      <c r="I13">
        <v>-1.075552118201571</v>
      </c>
    </row>
    <row r="14" spans="1:29" x14ac:dyDescent="0.25">
      <c r="A14" s="27" t="s">
        <v>4</v>
      </c>
      <c r="B14">
        <v>130</v>
      </c>
      <c r="C14">
        <v>197</v>
      </c>
      <c r="D14">
        <v>2.5647178748895119</v>
      </c>
      <c r="E14">
        <v>3.9741999999999993E-2</v>
      </c>
      <c r="F14">
        <v>1.0836879419627941E-3</v>
      </c>
      <c r="G14">
        <v>2.2944662261615929</v>
      </c>
      <c r="H14">
        <v>-1.4007502809829291</v>
      </c>
      <c r="I14">
        <v>-1.3981531755619481</v>
      </c>
    </row>
    <row r="15" spans="1:29" x14ac:dyDescent="0.25">
      <c r="A15" s="27" t="s">
        <v>4</v>
      </c>
      <c r="B15">
        <v>196</v>
      </c>
      <c r="C15">
        <v>458</v>
      </c>
      <c r="D15">
        <v>4.6785562825393994</v>
      </c>
      <c r="E15">
        <v>2.4794E-2</v>
      </c>
      <c r="F15">
        <v>1.7782763189860761E-4</v>
      </c>
      <c r="G15">
        <v>2.6608654780038692</v>
      </c>
      <c r="H15">
        <v>-1.6056534031316869</v>
      </c>
      <c r="I15">
        <v>-1.5952001259307329</v>
      </c>
    </row>
    <row r="16" spans="1:29" x14ac:dyDescent="0.25">
      <c r="A16" s="27" t="s">
        <v>4</v>
      </c>
      <c r="B16">
        <v>262</v>
      </c>
      <c r="C16">
        <v>815.1</v>
      </c>
      <c r="D16">
        <v>7.0228990531767641</v>
      </c>
      <c r="E16">
        <v>1.8291000000000002E-2</v>
      </c>
      <c r="F16">
        <v>1.9595606083450901E-4</v>
      </c>
      <c r="G16">
        <v>2.9112108931375529</v>
      </c>
      <c r="H16">
        <v>-1.737762550258418</v>
      </c>
      <c r="I16">
        <v>-1.7298341360791349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1.4518E-2</v>
      </c>
      <c r="F17">
        <v>1.18094124418712E-4</v>
      </c>
      <c r="G17">
        <v>3.1087679176780818</v>
      </c>
      <c r="H17">
        <v>-1.838093207932721</v>
      </c>
      <c r="I17">
        <v>-1.8360789196421761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1.1964000000000001E-2</v>
      </c>
      <c r="F18">
        <v>6.7316829660609789E-5</v>
      </c>
      <c r="G18">
        <v>3.2649358217826849</v>
      </c>
      <c r="H18">
        <v>-1.922123595640719</v>
      </c>
      <c r="I18">
        <v>-1.92006492423845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1.0153000000000001E-2</v>
      </c>
      <c r="F19">
        <v>5.2621288467691381E-5</v>
      </c>
      <c r="G19">
        <v>3.3988250669622899</v>
      </c>
      <c r="H19">
        <v>-1.9934056138158629</v>
      </c>
      <c r="I19">
        <v>-1.992069622166099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8.6820000000000005E-3</v>
      </c>
      <c r="F20">
        <v>1.6586473739499591E-5</v>
      </c>
      <c r="G20">
        <v>3.51955237207016</v>
      </c>
      <c r="H20">
        <v>-2.0613802184973191</v>
      </c>
      <c r="I20">
        <v>-2.056995920945738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7.8049999999999986E-3</v>
      </c>
      <c r="F21">
        <v>1.6549588783075209E-5</v>
      </c>
      <c r="G21">
        <v>3.6191037702724662</v>
      </c>
      <c r="H21">
        <v>-2.1076270926015641</v>
      </c>
      <c r="I21">
        <v>-2.1105339653660828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6.9569999999999996E-3</v>
      </c>
      <c r="F22">
        <v>1.513274595042155E-5</v>
      </c>
      <c r="G22">
        <v>3.7093632564093162</v>
      </c>
      <c r="H22">
        <v>-2.1575779966423498</v>
      </c>
      <c r="I22">
        <v>-2.1590748845838328</v>
      </c>
    </row>
    <row r="23" spans="1:9" x14ac:dyDescent="0.25">
      <c r="A23" s="27" t="s">
        <v>4</v>
      </c>
      <c r="B23">
        <v>665</v>
      </c>
      <c r="C23">
        <v>8165</v>
      </c>
      <c r="D23">
        <v>0</v>
      </c>
      <c r="E23">
        <v>5.5600000000000007E-3</v>
      </c>
      <c r="F23">
        <v>2.8912057932946778E-19</v>
      </c>
      <c r="G23">
        <v>3.9119561890726868</v>
      </c>
      <c r="H23">
        <v>-2.254925208417943</v>
      </c>
      <c r="I23">
        <v>-2.2680279442499329</v>
      </c>
    </row>
    <row r="24" spans="1:9" x14ac:dyDescent="0.25">
      <c r="A24" s="27" t="s">
        <v>5</v>
      </c>
      <c r="B24">
        <v>65</v>
      </c>
      <c r="C24">
        <v>55.3</v>
      </c>
      <c r="D24">
        <v>2.2313423961572751</v>
      </c>
      <c r="E24">
        <v>7.1235999999999994E-2</v>
      </c>
      <c r="F24">
        <v>4.7470201647396059E-3</v>
      </c>
      <c r="G24">
        <v>1.7427251313046981</v>
      </c>
      <c r="H24">
        <v>-1.1473004747604389</v>
      </c>
      <c r="I24">
        <v>-1.15188756303448</v>
      </c>
    </row>
    <row r="25" spans="1:9" x14ac:dyDescent="0.25">
      <c r="A25" s="27" t="s">
        <v>5</v>
      </c>
      <c r="B25">
        <v>130</v>
      </c>
      <c r="C25">
        <v>211.6</v>
      </c>
      <c r="D25">
        <v>4.3772137256478576</v>
      </c>
      <c r="E25">
        <v>3.4527000000000009E-2</v>
      </c>
      <c r="F25">
        <v>8.7654631620037293E-4</v>
      </c>
      <c r="G25">
        <v>2.3255156633631482</v>
      </c>
      <c r="H25">
        <v>-1.461841155216919</v>
      </c>
      <c r="I25">
        <v>-1.460781329376569</v>
      </c>
    </row>
    <row r="26" spans="1:9" x14ac:dyDescent="0.25">
      <c r="A26" s="27" t="s">
        <v>5</v>
      </c>
      <c r="B26">
        <v>196</v>
      </c>
      <c r="C26">
        <v>478.7</v>
      </c>
      <c r="D26">
        <v>5.587784295526566</v>
      </c>
      <c r="E26">
        <v>2.2575000000000001E-2</v>
      </c>
      <c r="F26">
        <v>3.8453507281159983E-4</v>
      </c>
      <c r="G26">
        <v>2.680063427481949</v>
      </c>
      <c r="H26">
        <v>-1.646372241014457</v>
      </c>
      <c r="I26">
        <v>-1.648700638600761</v>
      </c>
    </row>
    <row r="27" spans="1:9" x14ac:dyDescent="0.25">
      <c r="A27" s="27" t="s">
        <v>5</v>
      </c>
      <c r="B27">
        <v>262</v>
      </c>
      <c r="C27">
        <v>872.7</v>
      </c>
      <c r="D27">
        <v>5.3417641696769467</v>
      </c>
      <c r="E27">
        <v>1.6201E-2</v>
      </c>
      <c r="F27">
        <v>1.4882092146827571E-4</v>
      </c>
      <c r="G27">
        <v>2.940864975966722</v>
      </c>
      <c r="H27">
        <v>-1.7904581779833999</v>
      </c>
      <c r="I27">
        <v>-1.7869320753654721</v>
      </c>
    </row>
    <row r="28" spans="1:9" x14ac:dyDescent="0.25">
      <c r="A28" s="27" t="s">
        <v>5</v>
      </c>
      <c r="B28">
        <v>327</v>
      </c>
      <c r="C28">
        <v>1350.5</v>
      </c>
      <c r="D28">
        <v>5.814254514170802</v>
      </c>
      <c r="E28">
        <v>1.286E-2</v>
      </c>
      <c r="F28">
        <v>1.2406091693644339E-4</v>
      </c>
      <c r="G28">
        <v>3.1304945885234701</v>
      </c>
      <c r="H28">
        <v>-1.890759031411797</v>
      </c>
      <c r="I28">
        <v>-1.887440580583897</v>
      </c>
    </row>
    <row r="29" spans="1:9" x14ac:dyDescent="0.25">
      <c r="A29" s="27" t="s">
        <v>5</v>
      </c>
      <c r="B29">
        <v>393</v>
      </c>
      <c r="C29">
        <v>1956.9</v>
      </c>
      <c r="D29">
        <v>8.1846061467719871</v>
      </c>
      <c r="E29">
        <v>1.0566000000000001E-2</v>
      </c>
      <c r="F29">
        <v>8.9134106204577431E-5</v>
      </c>
      <c r="G29">
        <v>3.2915686332421501</v>
      </c>
      <c r="H29">
        <v>-1.97608939364908</v>
      </c>
      <c r="I29">
        <v>-1.972813910444577</v>
      </c>
    </row>
    <row r="30" spans="1:9" x14ac:dyDescent="0.25">
      <c r="A30" s="27" t="s">
        <v>5</v>
      </c>
      <c r="B30">
        <v>458</v>
      </c>
      <c r="C30">
        <v>2651.9</v>
      </c>
      <c r="D30">
        <v>8.6106523175270127</v>
      </c>
      <c r="E30">
        <v>9.0380000000000009E-3</v>
      </c>
      <c r="F30">
        <v>6.0291882630343361E-5</v>
      </c>
      <c r="G30">
        <v>3.423557143312292</v>
      </c>
      <c r="H30">
        <v>-2.0439276630048169</v>
      </c>
      <c r="I30">
        <v>-2.0427711690936552</v>
      </c>
    </row>
    <row r="31" spans="1:9" x14ac:dyDescent="0.25">
      <c r="A31" s="27" t="s">
        <v>5</v>
      </c>
      <c r="B31">
        <v>524</v>
      </c>
      <c r="C31">
        <v>3473</v>
      </c>
      <c r="D31">
        <v>6.7396010432533933</v>
      </c>
      <c r="E31">
        <v>7.8090000000000008E-3</v>
      </c>
      <c r="F31">
        <v>3.2810906045940768E-5</v>
      </c>
      <c r="G31">
        <v>3.5407047833107619</v>
      </c>
      <c r="H31">
        <v>-2.1074045771711019</v>
      </c>
      <c r="I31">
        <v>-2.1048623901184769</v>
      </c>
    </row>
    <row r="32" spans="1:9" x14ac:dyDescent="0.25">
      <c r="A32" s="27" t="s">
        <v>5</v>
      </c>
      <c r="B32">
        <v>589</v>
      </c>
      <c r="C32">
        <v>4398.1000000000004</v>
      </c>
      <c r="D32">
        <v>2.3449709782615411</v>
      </c>
      <c r="E32">
        <v>6.8970000000000004E-3</v>
      </c>
      <c r="F32">
        <v>1.8800118202938078E-5</v>
      </c>
      <c r="G32">
        <v>3.6432650997301961</v>
      </c>
      <c r="H32">
        <v>-2.1613397740110591</v>
      </c>
      <c r="I32">
        <v>-2.1592219595921591</v>
      </c>
    </row>
    <row r="33" spans="1:9" x14ac:dyDescent="0.25">
      <c r="A33" s="27" t="s">
        <v>5</v>
      </c>
      <c r="B33">
        <v>655</v>
      </c>
      <c r="C33">
        <v>5425.8</v>
      </c>
      <c r="D33">
        <v>7.5037768268163907</v>
      </c>
      <c r="E33">
        <v>6.1460000000000004E-3</v>
      </c>
      <c r="F33">
        <v>6.3595946761129686E-6</v>
      </c>
      <c r="G33">
        <v>3.734463781224838</v>
      </c>
      <c r="H33">
        <v>-2.211407444079641</v>
      </c>
      <c r="I33">
        <v>-2.2075595743313889</v>
      </c>
    </row>
    <row r="34" spans="1:9" x14ac:dyDescent="0.25">
      <c r="A34" s="27" t="s">
        <v>6</v>
      </c>
      <c r="B34">
        <v>65</v>
      </c>
      <c r="C34">
        <v>49.8</v>
      </c>
      <c r="D34">
        <v>1.2092238098144701</v>
      </c>
      <c r="E34">
        <v>6.3321000000000002E-2</v>
      </c>
      <c r="F34">
        <v>1.91857032998822E-3</v>
      </c>
      <c r="G34">
        <v>1.697229342759718</v>
      </c>
      <c r="H34">
        <v>-1.1984522351386051</v>
      </c>
      <c r="I34">
        <v>-1.172239015000931</v>
      </c>
    </row>
    <row r="35" spans="1:9" x14ac:dyDescent="0.25">
      <c r="A35" s="27" t="s">
        <v>6</v>
      </c>
      <c r="B35">
        <v>130</v>
      </c>
      <c r="C35">
        <v>213.4</v>
      </c>
      <c r="D35">
        <v>4.0830271994086829</v>
      </c>
      <c r="E35">
        <v>3.3064999999999997E-2</v>
      </c>
      <c r="F35">
        <v>1.2767347675483221E-3</v>
      </c>
      <c r="G35">
        <v>2.3291944150884509</v>
      </c>
      <c r="H35">
        <v>-1.4806314729600001</v>
      </c>
      <c r="I35">
        <v>-1.5042845632925339</v>
      </c>
    </row>
    <row r="36" spans="1:9" x14ac:dyDescent="0.25">
      <c r="A36" s="27" t="s">
        <v>6</v>
      </c>
      <c r="B36">
        <v>196</v>
      </c>
      <c r="C36">
        <v>470.4</v>
      </c>
      <c r="D36">
        <v>5.1901616331071789</v>
      </c>
      <c r="E36">
        <v>2.1065E-2</v>
      </c>
      <c r="F36">
        <v>3.8763743082651073E-4</v>
      </c>
      <c r="G36">
        <v>2.6724673130680818</v>
      </c>
      <c r="H36">
        <v>-1.676438536537133</v>
      </c>
      <c r="I36">
        <v>-1.68464617284048</v>
      </c>
    </row>
    <row r="37" spans="1:9" x14ac:dyDescent="0.25">
      <c r="A37" s="27" t="s">
        <v>6</v>
      </c>
      <c r="B37">
        <v>262</v>
      </c>
      <c r="C37">
        <v>836.4</v>
      </c>
      <c r="D37">
        <v>8.5481641953761685</v>
      </c>
      <c r="E37">
        <v>1.6246E-2</v>
      </c>
      <c r="F37">
        <v>4.5558558166630138E-4</v>
      </c>
      <c r="G37">
        <v>2.9224140241456338</v>
      </c>
      <c r="H37">
        <v>-1.7892535511016741</v>
      </c>
      <c r="I37">
        <v>-1.815972564689327</v>
      </c>
    </row>
    <row r="38" spans="1:9" x14ac:dyDescent="0.25">
      <c r="A38" s="27" t="s">
        <v>6</v>
      </c>
      <c r="B38">
        <v>327</v>
      </c>
      <c r="C38">
        <v>1306.5</v>
      </c>
      <c r="D38">
        <v>6.0429021725216323</v>
      </c>
      <c r="E38">
        <v>1.2062E-2</v>
      </c>
      <c r="F38">
        <v>1.5347674452864549E-4</v>
      </c>
      <c r="G38">
        <v>3.1161094140633439</v>
      </c>
      <c r="H38">
        <v>-1.9185806758650661</v>
      </c>
      <c r="I38">
        <v>-1.9177435244510499</v>
      </c>
    </row>
    <row r="39" spans="1:9" x14ac:dyDescent="0.25">
      <c r="A39" s="27" t="s">
        <v>6</v>
      </c>
      <c r="B39">
        <v>393</v>
      </c>
      <c r="C39">
        <v>1873.9</v>
      </c>
      <c r="D39">
        <v>10.574024777727731</v>
      </c>
      <c r="E39">
        <v>9.8149999999999991E-3</v>
      </c>
      <c r="F39">
        <v>7.5103632106280678E-5</v>
      </c>
      <c r="G39">
        <v>3.2727464112011901</v>
      </c>
      <c r="H39">
        <v>-2.008109696063975</v>
      </c>
      <c r="I39">
        <v>-2.0000433537845481</v>
      </c>
    </row>
    <row r="40" spans="1:9" x14ac:dyDescent="0.25">
      <c r="A40" s="27" t="s">
        <v>6</v>
      </c>
      <c r="B40">
        <v>458</v>
      </c>
      <c r="C40">
        <v>2520.6</v>
      </c>
      <c r="D40">
        <v>6.49307323229917</v>
      </c>
      <c r="E40">
        <v>8.4430000000000009E-3</v>
      </c>
      <c r="F40">
        <v>6.4876806333234388E-5</v>
      </c>
      <c r="G40">
        <v>3.4015039319216358</v>
      </c>
      <c r="H40">
        <v>-2.0735032107267801</v>
      </c>
      <c r="I40">
        <v>-2.0676948165572382</v>
      </c>
    </row>
    <row r="41" spans="1:9" x14ac:dyDescent="0.25">
      <c r="A41" s="27" t="s">
        <v>6</v>
      </c>
      <c r="B41">
        <v>524</v>
      </c>
      <c r="C41">
        <v>3300.4</v>
      </c>
      <c r="D41">
        <v>12.533687938246</v>
      </c>
      <c r="E41">
        <v>7.3020000000000003E-3</v>
      </c>
      <c r="F41">
        <v>2.7800879282657391E-5</v>
      </c>
      <c r="G41">
        <v>3.5185665784431182</v>
      </c>
      <c r="H41">
        <v>-2.1365581713862909</v>
      </c>
      <c r="I41">
        <v>-2.1292015870270982</v>
      </c>
    </row>
    <row r="42" spans="1:9" x14ac:dyDescent="0.25">
      <c r="A42" s="27" t="s">
        <v>6</v>
      </c>
      <c r="B42">
        <v>589</v>
      </c>
      <c r="C42">
        <v>4173.8</v>
      </c>
      <c r="D42">
        <v>9.9808705921767036</v>
      </c>
      <c r="E42">
        <v>6.431000000000001E-3</v>
      </c>
      <c r="F42">
        <v>1.361779881054366E-5</v>
      </c>
      <c r="G42">
        <v>3.620531634720475</v>
      </c>
      <c r="H42">
        <v>-2.191721490417232</v>
      </c>
      <c r="I42">
        <v>-2.1827758184216259</v>
      </c>
    </row>
    <row r="43" spans="1:9" x14ac:dyDescent="0.25">
      <c r="A43" s="27" t="s">
        <v>6</v>
      </c>
      <c r="B43">
        <v>655</v>
      </c>
      <c r="C43">
        <v>5203.6000000000004</v>
      </c>
      <c r="D43">
        <v>9.5174693181655279</v>
      </c>
      <c r="E43">
        <v>5.7330000000000002E-3</v>
      </c>
      <c r="F43">
        <v>8.6986589004666455E-6</v>
      </c>
      <c r="G43">
        <v>3.7163039050168698</v>
      </c>
      <c r="H43">
        <v>-2.2416180582253249</v>
      </c>
      <c r="I43">
        <v>-2.233096251296999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95DB-66F3-AF47-A56B-9367486E6A96}">
  <dimension ref="A1:I42"/>
  <sheetViews>
    <sheetView topLeftCell="A16" zoomScale="150" zoomScaleNormal="150" workbookViewId="0">
      <selection activeCell="A43" sqref="A43:XFD43"/>
    </sheetView>
  </sheetViews>
  <sheetFormatPr defaultColWidth="11.42578125" defaultRowHeight="15" x14ac:dyDescent="0.25"/>
  <sheetData>
    <row r="1" spans="1: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3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</row>
    <row r="3" spans="1:9" x14ac:dyDescent="0.25">
      <c r="A3" s="27" t="s">
        <v>3</v>
      </c>
      <c r="B3">
        <v>65</v>
      </c>
      <c r="C3">
        <v>53.9</v>
      </c>
      <c r="D3">
        <v>1.9174636024359539</v>
      </c>
      <c r="E3">
        <v>9.7462999999999994E-2</v>
      </c>
      <c r="F3">
        <v>4.4250825604350771E-3</v>
      </c>
      <c r="G3">
        <v>1.731588765186739</v>
      </c>
      <c r="H3">
        <v>-1.011160224768868</v>
      </c>
      <c r="I3">
        <v>-0.96566965972394891</v>
      </c>
    </row>
    <row r="4" spans="1:9" x14ac:dyDescent="0.25">
      <c r="A4" s="27" t="s">
        <v>3</v>
      </c>
      <c r="B4">
        <v>131</v>
      </c>
      <c r="C4">
        <v>218.7</v>
      </c>
      <c r="D4">
        <v>4.1794470660337089</v>
      </c>
      <c r="E4">
        <v>3.3418000000000003E-2</v>
      </c>
      <c r="F4">
        <v>1.4100092986297011E-3</v>
      </c>
      <c r="G4">
        <v>2.3398487830376369</v>
      </c>
      <c r="H4">
        <v>-1.4760195453150069</v>
      </c>
      <c r="I4">
        <v>-1.4890379727906491</v>
      </c>
    </row>
    <row r="5" spans="1:9" x14ac:dyDescent="0.25">
      <c r="A5" s="27" t="s">
        <v>3</v>
      </c>
      <c r="B5">
        <v>196</v>
      </c>
      <c r="C5">
        <v>480.2</v>
      </c>
      <c r="D5">
        <v>2.48461935381123</v>
      </c>
      <c r="E5">
        <v>1.7444000000000001E-2</v>
      </c>
      <c r="F5">
        <v>6.2539445330305106E-4</v>
      </c>
      <c r="G5">
        <v>2.6814221557210089</v>
      </c>
      <c r="H5">
        <v>-1.7583539219986111</v>
      </c>
      <c r="I5">
        <v>-1.782939716458471</v>
      </c>
    </row>
    <row r="6" spans="1:9" x14ac:dyDescent="0.25">
      <c r="A6" s="27" t="s">
        <v>3</v>
      </c>
      <c r="B6">
        <v>262</v>
      </c>
      <c r="C6">
        <v>862.5</v>
      </c>
      <c r="D6">
        <v>4.7755162606314672</v>
      </c>
      <c r="E6">
        <v>1.0961E-2</v>
      </c>
      <c r="F6">
        <v>5.1824586614634732E-4</v>
      </c>
      <c r="G6">
        <v>2.9357591037453119</v>
      </c>
      <c r="H6">
        <v>-1.960149822250336</v>
      </c>
      <c r="I6">
        <v>-2.0017801720720469</v>
      </c>
    </row>
    <row r="7" spans="1:9" x14ac:dyDescent="0.25">
      <c r="A7" s="27" t="s">
        <v>3</v>
      </c>
      <c r="B7">
        <v>328</v>
      </c>
      <c r="C7">
        <v>1345.8</v>
      </c>
      <c r="D7">
        <v>5.6819402007100033</v>
      </c>
      <c r="E7">
        <v>6.6640000000000007E-3</v>
      </c>
      <c r="F7">
        <v>2.905902040101604E-4</v>
      </c>
      <c r="G7">
        <v>3.1289805239666109</v>
      </c>
      <c r="H7">
        <v>-2.1762650116012692</v>
      </c>
      <c r="I7">
        <v>-2.168034678009938</v>
      </c>
    </row>
    <row r="8" spans="1:9" x14ac:dyDescent="0.25">
      <c r="A8" s="27" t="s">
        <v>3</v>
      </c>
      <c r="B8">
        <v>393</v>
      </c>
      <c r="C8">
        <v>1950.4</v>
      </c>
      <c r="D8">
        <v>5.619806244188692</v>
      </c>
      <c r="E8">
        <v>5.1879999999999999E-3</v>
      </c>
      <c r="F8">
        <v>2.0104615279968821E-4</v>
      </c>
      <c r="G8">
        <v>3.2901236882743068</v>
      </c>
      <c r="H8">
        <v>-2.2850000325879569</v>
      </c>
      <c r="I8">
        <v>-2.306687924304061</v>
      </c>
    </row>
    <row r="9" spans="1:9" x14ac:dyDescent="0.25">
      <c r="A9" s="27" t="s">
        <v>3</v>
      </c>
      <c r="B9">
        <v>459</v>
      </c>
      <c r="C9">
        <v>2662.6</v>
      </c>
      <c r="D9">
        <v>4.9959983987187186</v>
      </c>
      <c r="E9">
        <v>3.7309999999999999E-3</v>
      </c>
      <c r="F9">
        <v>6.3112773843511448E-5</v>
      </c>
      <c r="G9">
        <v>3.4253059276703191</v>
      </c>
      <c r="H9">
        <v>-2.4281747509591711</v>
      </c>
      <c r="I9">
        <v>-2.4230034777071001</v>
      </c>
    </row>
    <row r="10" spans="1:9" x14ac:dyDescent="0.25">
      <c r="A10" s="27" t="s">
        <v>3</v>
      </c>
      <c r="B10">
        <v>524</v>
      </c>
      <c r="C10">
        <v>3464.1</v>
      </c>
      <c r="D10">
        <v>4.1000000000000014</v>
      </c>
      <c r="E10">
        <v>3.0590000000000001E-3</v>
      </c>
      <c r="F10">
        <v>2.172811798364303E-5</v>
      </c>
      <c r="G10">
        <v>3.5395904205339161</v>
      </c>
      <c r="H10">
        <v>-2.5144205230153212</v>
      </c>
      <c r="I10">
        <v>-2.521337874978574</v>
      </c>
    </row>
    <row r="11" spans="1:9" x14ac:dyDescent="0.25">
      <c r="A11" s="27" t="s">
        <v>3</v>
      </c>
      <c r="B11">
        <v>590</v>
      </c>
      <c r="C11">
        <v>4413.3</v>
      </c>
      <c r="D11">
        <v>7.7172965905598483</v>
      </c>
      <c r="E11">
        <v>2.4269999999999999E-3</v>
      </c>
      <c r="F11">
        <v>2.24127939653523E-5</v>
      </c>
      <c r="G11">
        <v>3.644763450201828</v>
      </c>
      <c r="H11">
        <v>-2.6149302236680652</v>
      </c>
      <c r="I11">
        <v>-2.6118324488483009</v>
      </c>
    </row>
    <row r="12" spans="1:9" x14ac:dyDescent="0.25">
      <c r="A12" s="27" t="s">
        <v>3</v>
      </c>
      <c r="B12">
        <v>656</v>
      </c>
      <c r="C12">
        <v>5475.3</v>
      </c>
      <c r="D12">
        <v>2.4857370916669539</v>
      </c>
      <c r="E12">
        <v>2.042E-3</v>
      </c>
      <c r="F12">
        <v>6.9358969619413063E-5</v>
      </c>
      <c r="G12">
        <v>3.7384079198181208</v>
      </c>
      <c r="H12">
        <v>-2.6899442622491092</v>
      </c>
      <c r="I12">
        <v>-2.6924074441673569</v>
      </c>
    </row>
    <row r="13" spans="1:9" x14ac:dyDescent="0.25">
      <c r="A13" s="27" t="s">
        <v>4</v>
      </c>
      <c r="B13">
        <v>65</v>
      </c>
      <c r="C13">
        <v>49.5</v>
      </c>
      <c r="D13">
        <v>2.320201140705981</v>
      </c>
      <c r="E13">
        <v>0.100588</v>
      </c>
      <c r="F13">
        <v>6.1792014586568274E-3</v>
      </c>
      <c r="G13">
        <v>1.6946051989335691</v>
      </c>
      <c r="H13">
        <v>-0.99745382688083328</v>
      </c>
      <c r="I13">
        <v>-0.95719864308073777</v>
      </c>
    </row>
    <row r="14" spans="1:9" x14ac:dyDescent="0.25">
      <c r="A14" s="27" t="s">
        <v>4</v>
      </c>
      <c r="B14">
        <v>130</v>
      </c>
      <c r="C14">
        <v>197</v>
      </c>
      <c r="D14">
        <v>2.5647178748895119</v>
      </c>
      <c r="E14">
        <v>3.3046999999999993E-2</v>
      </c>
      <c r="F14">
        <v>1.372122484004657E-3</v>
      </c>
      <c r="G14">
        <v>2.2944662261615929</v>
      </c>
      <c r="H14">
        <v>-1.480867959554488</v>
      </c>
      <c r="I14">
        <v>-1.513406240369789</v>
      </c>
    </row>
    <row r="15" spans="1:9" x14ac:dyDescent="0.25">
      <c r="A15" s="27" t="s">
        <v>4</v>
      </c>
      <c r="B15">
        <v>196</v>
      </c>
      <c r="C15">
        <v>458</v>
      </c>
      <c r="D15">
        <v>4.6785562825393994</v>
      </c>
      <c r="E15">
        <v>1.515E-2</v>
      </c>
      <c r="F15">
        <v>8.6832789505654668E-4</v>
      </c>
      <c r="G15">
        <v>2.6608654780038692</v>
      </c>
      <c r="H15">
        <v>-1.819587367161676</v>
      </c>
      <c r="I15">
        <v>-1.8531416761880439</v>
      </c>
    </row>
    <row r="16" spans="1:9" x14ac:dyDescent="0.25">
      <c r="A16" s="27" t="s">
        <v>4</v>
      </c>
      <c r="B16">
        <v>262</v>
      </c>
      <c r="C16">
        <v>815.1</v>
      </c>
      <c r="D16">
        <v>7.0228990531767641</v>
      </c>
      <c r="E16">
        <v>7.8580000000000004E-3</v>
      </c>
      <c r="F16">
        <v>2.8217724926010598E-4</v>
      </c>
      <c r="G16">
        <v>2.9112108931375529</v>
      </c>
      <c r="H16">
        <v>-2.1046879755242132</v>
      </c>
      <c r="I16">
        <v>-2.085268811513517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5.5040000000000002E-3</v>
      </c>
      <c r="F17">
        <v>2.9212706519975552E-4</v>
      </c>
      <c r="G17">
        <v>3.1087679176780818</v>
      </c>
      <c r="H17">
        <v>-2.259321574772545</v>
      </c>
      <c r="I17">
        <v>-2.268449103213801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3.850999999999999E-3</v>
      </c>
      <c r="F18">
        <v>1.6650959264992649E-4</v>
      </c>
      <c r="G18">
        <v>3.2649358217826849</v>
      </c>
      <c r="H18">
        <v>-2.4144264813772689</v>
      </c>
      <c r="I18">
        <v>-2.413252267235106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2.9260000000000002E-3</v>
      </c>
      <c r="F19">
        <v>9.4800375057860962E-5</v>
      </c>
      <c r="G19">
        <v>3.3988250669622899</v>
      </c>
      <c r="H19">
        <v>-2.533725678210708</v>
      </c>
      <c r="I19">
        <v>-2.537398047647482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2.0739999999999999E-3</v>
      </c>
      <c r="F20">
        <v>3.9977771601506518E-5</v>
      </c>
      <c r="G20">
        <v>3.51955237207016</v>
      </c>
      <c r="H20">
        <v>-2.6831912479469779</v>
      </c>
      <c r="I20">
        <v>-2.649339716222836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1.9589999999999998E-3</v>
      </c>
      <c r="F21">
        <v>8.104114181492425E-5</v>
      </c>
      <c r="G21">
        <v>3.6191037702724662</v>
      </c>
      <c r="H21">
        <v>-2.707965564005264</v>
      </c>
      <c r="I21">
        <v>-2.7416465031076962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1.6570000000000001E-3</v>
      </c>
      <c r="F22">
        <v>1.258486745615101E-4</v>
      </c>
      <c r="G22">
        <v>3.7093632564093162</v>
      </c>
      <c r="H22">
        <v>-2.7806774915806631</v>
      </c>
      <c r="I22">
        <v>-2.8253375742691471</v>
      </c>
    </row>
    <row r="23" spans="1:9" x14ac:dyDescent="0.25">
      <c r="A23" s="27" t="s">
        <v>5</v>
      </c>
      <c r="B23">
        <v>65</v>
      </c>
      <c r="C23">
        <v>55.3</v>
      </c>
      <c r="D23">
        <v>2.2313423961572751</v>
      </c>
      <c r="E23">
        <v>9.4701999999999995E-2</v>
      </c>
      <c r="F23">
        <v>2.6912371380711391E-3</v>
      </c>
      <c r="G23">
        <v>1.7427251313046981</v>
      </c>
      <c r="H23">
        <v>-1.023640849087625</v>
      </c>
      <c r="I23">
        <v>-0.96312533288099345</v>
      </c>
    </row>
    <row r="24" spans="1:9" x14ac:dyDescent="0.25">
      <c r="A24" s="27" t="s">
        <v>5</v>
      </c>
      <c r="B24">
        <v>130</v>
      </c>
      <c r="C24">
        <v>211.6</v>
      </c>
      <c r="D24">
        <v>4.3772137256478576</v>
      </c>
      <c r="E24">
        <v>3.3510999999999999E-2</v>
      </c>
      <c r="F24">
        <v>2.302224745279613E-3</v>
      </c>
      <c r="G24">
        <v>2.3255156633631482</v>
      </c>
      <c r="H24">
        <v>-1.474812612212417</v>
      </c>
      <c r="I24">
        <v>-1.5026790670657939</v>
      </c>
    </row>
    <row r="25" spans="1:9" x14ac:dyDescent="0.25">
      <c r="A25" s="27" t="s">
        <v>5</v>
      </c>
      <c r="B25">
        <v>196</v>
      </c>
      <c r="C25">
        <v>478.7</v>
      </c>
      <c r="D25">
        <v>5.587784295526566</v>
      </c>
      <c r="E25">
        <v>1.7222999999999999E-2</v>
      </c>
      <c r="F25">
        <v>1.1172426872538581E-3</v>
      </c>
      <c r="G25">
        <v>2.680063427481949</v>
      </c>
      <c r="H25">
        <v>-1.7638911984127179</v>
      </c>
      <c r="I25">
        <v>-1.8309231951944649</v>
      </c>
    </row>
    <row r="26" spans="1:9" x14ac:dyDescent="0.25">
      <c r="A26" s="27" t="s">
        <v>5</v>
      </c>
      <c r="B26">
        <v>262</v>
      </c>
      <c r="C26">
        <v>872.7</v>
      </c>
      <c r="D26">
        <v>5.3417641696769467</v>
      </c>
      <c r="E26">
        <v>9.384E-3</v>
      </c>
      <c r="F26">
        <v>6.7995784183040836E-4</v>
      </c>
      <c r="G26">
        <v>2.940864975966722</v>
      </c>
      <c r="H26">
        <v>-2.0276120008925269</v>
      </c>
      <c r="I26">
        <v>-2.0723760699848621</v>
      </c>
    </row>
    <row r="27" spans="1:9" x14ac:dyDescent="0.25">
      <c r="A27" s="27" t="s">
        <v>5</v>
      </c>
      <c r="B27">
        <v>327</v>
      </c>
      <c r="C27">
        <v>1350.5</v>
      </c>
      <c r="D27">
        <v>5.814254514170802</v>
      </c>
      <c r="E27">
        <v>5.6999999999999993E-3</v>
      </c>
      <c r="F27">
        <v>3.6927857596490301E-4</v>
      </c>
      <c r="G27">
        <v>3.1304945885234701</v>
      </c>
      <c r="H27">
        <v>-2.244125144327509</v>
      </c>
      <c r="I27">
        <v>-2.2479372020534059</v>
      </c>
    </row>
    <row r="28" spans="1:9" x14ac:dyDescent="0.25">
      <c r="A28" s="27" t="s">
        <v>5</v>
      </c>
      <c r="B28">
        <v>393</v>
      </c>
      <c r="C28">
        <v>1956.9</v>
      </c>
      <c r="D28">
        <v>8.1846061467719871</v>
      </c>
      <c r="E28">
        <v>4.287E-3</v>
      </c>
      <c r="F28">
        <v>2.2310460924567801E-4</v>
      </c>
      <c r="G28">
        <v>3.2915686332421501</v>
      </c>
      <c r="H28">
        <v>-2.3678465164893669</v>
      </c>
      <c r="I28">
        <v>-2.3970612827093651</v>
      </c>
    </row>
    <row r="29" spans="1:9" x14ac:dyDescent="0.25">
      <c r="A29" s="27" t="s">
        <v>5</v>
      </c>
      <c r="B29">
        <v>458</v>
      </c>
      <c r="C29">
        <v>2651.9</v>
      </c>
      <c r="D29">
        <v>8.6106523175270127</v>
      </c>
      <c r="E29">
        <v>2.6210000000000001E-3</v>
      </c>
      <c r="F29">
        <v>1.0113192703922269E-4</v>
      </c>
      <c r="G29">
        <v>3.423557143312292</v>
      </c>
      <c r="H29">
        <v>-2.581532979053399</v>
      </c>
      <c r="I29">
        <v>-2.519257662987366</v>
      </c>
    </row>
    <row r="30" spans="1:9" x14ac:dyDescent="0.25">
      <c r="A30" s="27" t="s">
        <v>5</v>
      </c>
      <c r="B30">
        <v>524</v>
      </c>
      <c r="C30">
        <v>3473</v>
      </c>
      <c r="D30">
        <v>6.7396010432533933</v>
      </c>
      <c r="E30">
        <v>2.1389999999999998E-3</v>
      </c>
      <c r="F30">
        <v>7.6586189645682487E-5</v>
      </c>
      <c r="G30">
        <v>3.5407047833107619</v>
      </c>
      <c r="H30">
        <v>-2.6697892154284721</v>
      </c>
      <c r="I30">
        <v>-2.6277142063509982</v>
      </c>
    </row>
    <row r="31" spans="1:9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1.843E-3</v>
      </c>
      <c r="F31">
        <v>7.9148945384986395E-5</v>
      </c>
      <c r="G31">
        <v>3.6432650997301961</v>
      </c>
      <c r="H31">
        <v>-2.7344746647809259</v>
      </c>
      <c r="I31">
        <v>-2.7226656488664198</v>
      </c>
    </row>
    <row r="32" spans="1:9" x14ac:dyDescent="0.25">
      <c r="A32" s="27" t="s">
        <v>5</v>
      </c>
      <c r="B32">
        <v>655</v>
      </c>
      <c r="C32">
        <v>5425.8</v>
      </c>
      <c r="D32">
        <v>7.5037768268163907</v>
      </c>
      <c r="E32">
        <v>1.3780000000000001E-3</v>
      </c>
      <c r="F32">
        <v>7.2675840399528781E-5</v>
      </c>
      <c r="G32">
        <v>3.734463781224838</v>
      </c>
      <c r="H32">
        <v>-2.8607507824283931</v>
      </c>
      <c r="I32">
        <v>-2.8070983677360348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0.106602</v>
      </c>
      <c r="F33">
        <v>3.6235181798909191E-3</v>
      </c>
      <c r="G33">
        <v>1.697229342759718</v>
      </c>
      <c r="H33">
        <v>-0.97223464727177489</v>
      </c>
      <c r="I33">
        <v>-0.9078725854577725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3.1382E-2</v>
      </c>
      <c r="F34">
        <v>1.232976344731182E-3</v>
      </c>
      <c r="G34">
        <v>2.3291944150884509</v>
      </c>
      <c r="H34">
        <v>-1.5033193819318329</v>
      </c>
      <c r="I34">
        <v>-1.519802127747945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1.4877E-2</v>
      </c>
      <c r="F35">
        <v>4.723159253437611E-4</v>
      </c>
      <c r="G35">
        <v>2.6724673130680818</v>
      </c>
      <c r="H35">
        <v>-1.8274846369892279</v>
      </c>
      <c r="I35">
        <v>-1.8521920596270121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9.2289999999999994E-3</v>
      </c>
      <c r="F36">
        <v>4.7816187403198292E-4</v>
      </c>
      <c r="G36">
        <v>2.9224140241456338</v>
      </c>
      <c r="H36">
        <v>-2.0348453540130751</v>
      </c>
      <c r="I36">
        <v>-2.094214575116697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5.6779999999999999E-3</v>
      </c>
      <c r="F37">
        <v>1.324873159547316E-4</v>
      </c>
      <c r="G37">
        <v>3.1161094140633439</v>
      </c>
      <c r="H37">
        <v>-2.2458046118101622</v>
      </c>
      <c r="I37">
        <v>-2.281769135464939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3.9279999999999992E-3</v>
      </c>
      <c r="F38">
        <v>1.7266409264490661E-4</v>
      </c>
      <c r="G38">
        <v>3.2727464112011901</v>
      </c>
      <c r="H38">
        <v>-2.405828520885088</v>
      </c>
      <c r="I38">
        <v>-2.4334401852763912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2.8210000000000002E-3</v>
      </c>
      <c r="F39">
        <v>1.3912783889486521E-4</v>
      </c>
      <c r="G39">
        <v>3.4015039319216358</v>
      </c>
      <c r="H39">
        <v>-2.5495969138446339</v>
      </c>
      <c r="I39">
        <v>-2.5581156367701641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1.9940000000000001E-3</v>
      </c>
      <c r="F40">
        <v>1.400000000000002E-5</v>
      </c>
      <c r="G40">
        <v>3.5185665784431182</v>
      </c>
      <c r="H40">
        <v>-2.7002748460243629</v>
      </c>
      <c r="I40">
        <v>-2.6714669829785902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1.603E-3</v>
      </c>
      <c r="F41">
        <v>4.4845413490245639E-6</v>
      </c>
      <c r="G41">
        <v>3.620531634720475</v>
      </c>
      <c r="H41">
        <v>-2.7950664776458551</v>
      </c>
      <c r="I41">
        <v>-2.7701993860012339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1.291E-3</v>
      </c>
      <c r="F42">
        <v>2.7688746209726709E-6</v>
      </c>
      <c r="G42">
        <v>3.7163039050168698</v>
      </c>
      <c r="H42">
        <v>-2.8890737577335801</v>
      </c>
      <c r="I42">
        <v>-2.8629353362818502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AFA4-8F1B-A741-95DC-BBCE6D22B32F}">
  <dimension ref="A1:I42"/>
  <sheetViews>
    <sheetView tabSelected="1" topLeftCell="A13" zoomScale="150" zoomScaleNormal="150" workbookViewId="0">
      <selection activeCell="G33" sqref="G33"/>
    </sheetView>
  </sheetViews>
  <sheetFormatPr defaultColWidth="11.42578125" defaultRowHeight="15" x14ac:dyDescent="0.25"/>
  <sheetData>
    <row r="1" spans="1: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3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</row>
    <row r="3" spans="1:9" x14ac:dyDescent="0.25">
      <c r="A3" s="27" t="s">
        <v>3</v>
      </c>
      <c r="B3">
        <v>65</v>
      </c>
      <c r="C3">
        <v>53.9</v>
      </c>
      <c r="D3">
        <v>1.9174636024359539</v>
      </c>
      <c r="E3">
        <v>0.22412399999999999</v>
      </c>
      <c r="F3">
        <v>6.2449907392512069E-3</v>
      </c>
      <c r="G3">
        <v>1.731588765186739</v>
      </c>
      <c r="H3">
        <v>-0.64951163516741062</v>
      </c>
      <c r="I3">
        <v>-0.63677377983195127</v>
      </c>
    </row>
    <row r="4" spans="1:9" x14ac:dyDescent="0.25">
      <c r="A4" s="27" t="s">
        <v>3</v>
      </c>
      <c r="B4">
        <v>131</v>
      </c>
      <c r="C4">
        <v>218.7</v>
      </c>
      <c r="D4">
        <v>4.1794470660337089</v>
      </c>
      <c r="E4">
        <v>0.126966</v>
      </c>
      <c r="F4">
        <v>1.886533682003409E-3</v>
      </c>
      <c r="G4">
        <v>2.3398487830376369</v>
      </c>
      <c r="H4">
        <v>-0.89631256242428237</v>
      </c>
      <c r="I4">
        <v>-0.90505447920028792</v>
      </c>
    </row>
    <row r="5" spans="1:9" x14ac:dyDescent="0.25">
      <c r="A5" s="27" t="s">
        <v>3</v>
      </c>
      <c r="B5">
        <v>196</v>
      </c>
      <c r="C5">
        <v>480.2</v>
      </c>
      <c r="D5">
        <v>2.48461935381123</v>
      </c>
      <c r="E5">
        <v>8.7507000000000001E-2</v>
      </c>
      <c r="F5">
        <v>9.8419515905693667E-4</v>
      </c>
      <c r="G5">
        <v>2.6814221557210089</v>
      </c>
      <c r="H5">
        <v>-1.0579572048088031</v>
      </c>
      <c r="I5">
        <v>-1.055709693450388</v>
      </c>
    </row>
    <row r="6" spans="1:9" x14ac:dyDescent="0.25">
      <c r="A6" s="27" t="s">
        <v>3</v>
      </c>
      <c r="B6">
        <v>262</v>
      </c>
      <c r="C6">
        <v>862.5</v>
      </c>
      <c r="D6">
        <v>4.7755162606314672</v>
      </c>
      <c r="E6">
        <v>6.9010000000000002E-2</v>
      </c>
      <c r="F6">
        <v>2.1445538256502451E-4</v>
      </c>
      <c r="G6">
        <v>2.9357591037453119</v>
      </c>
      <c r="H6">
        <v>-1.1610879725940011</v>
      </c>
      <c r="I6">
        <v>-1.1678881899628679</v>
      </c>
    </row>
    <row r="7" spans="1:9" x14ac:dyDescent="0.25">
      <c r="A7" s="27" t="s">
        <v>3</v>
      </c>
      <c r="B7">
        <v>328</v>
      </c>
      <c r="C7">
        <v>1345.8</v>
      </c>
      <c r="D7">
        <v>5.6819402007100033</v>
      </c>
      <c r="E7">
        <v>5.6743000000000009E-2</v>
      </c>
      <c r="F7">
        <v>4.1406668813395568E-4</v>
      </c>
      <c r="G7">
        <v>3.1289805239666109</v>
      </c>
      <c r="H7">
        <v>-1.246087706802355</v>
      </c>
      <c r="I7">
        <v>-1.2531109174619821</v>
      </c>
    </row>
    <row r="8" spans="1:9" x14ac:dyDescent="0.25">
      <c r="A8" s="27" t="s">
        <v>3</v>
      </c>
      <c r="B8">
        <v>393</v>
      </c>
      <c r="C8">
        <v>1950.4</v>
      </c>
      <c r="D8">
        <v>5.619806244188692</v>
      </c>
      <c r="E8">
        <v>4.7560000000000012E-2</v>
      </c>
      <c r="F8">
        <v>1.6349651712226521E-4</v>
      </c>
      <c r="G8">
        <v>3.2901236882743068</v>
      </c>
      <c r="H8">
        <v>-1.322758154053346</v>
      </c>
      <c r="I8">
        <v>-1.3241851284082169</v>
      </c>
    </row>
    <row r="9" spans="1:9" x14ac:dyDescent="0.25">
      <c r="A9" s="27" t="s">
        <v>3</v>
      </c>
      <c r="B9">
        <v>459</v>
      </c>
      <c r="C9">
        <v>2662.6</v>
      </c>
      <c r="D9">
        <v>4.9959983987187186</v>
      </c>
      <c r="E9">
        <v>4.1593999999999999E-2</v>
      </c>
      <c r="F9">
        <v>8.9668525383461247E-5</v>
      </c>
      <c r="G9">
        <v>3.4253059276703191</v>
      </c>
      <c r="H9">
        <v>-1.380969312518098</v>
      </c>
      <c r="I9">
        <v>-1.383808948259927</v>
      </c>
    </row>
    <row r="10" spans="1:9" x14ac:dyDescent="0.25">
      <c r="A10" s="27" t="s">
        <v>3</v>
      </c>
      <c r="B10">
        <v>524</v>
      </c>
      <c r="C10">
        <v>3464.1</v>
      </c>
      <c r="D10">
        <v>4.1000000000000014</v>
      </c>
      <c r="E10">
        <v>3.7127E-2</v>
      </c>
      <c r="F10">
        <v>9.4997660789913915E-5</v>
      </c>
      <c r="G10">
        <v>3.5395904205339161</v>
      </c>
      <c r="H10">
        <v>-1.430310141969187</v>
      </c>
      <c r="I10">
        <v>-1.434215555257919</v>
      </c>
    </row>
    <row r="11" spans="1:9" x14ac:dyDescent="0.25">
      <c r="A11" s="27" t="s">
        <v>3</v>
      </c>
      <c r="B11">
        <v>590</v>
      </c>
      <c r="C11">
        <v>4413.3</v>
      </c>
      <c r="D11">
        <v>7.7172965905598483</v>
      </c>
      <c r="E11">
        <v>3.3199999999999993E-2</v>
      </c>
      <c r="F11">
        <v>3.0073982849706361E-5</v>
      </c>
      <c r="G11">
        <v>3.644763450201828</v>
      </c>
      <c r="H11">
        <v>-1.478861916295964</v>
      </c>
      <c r="I11">
        <v>-1.4806034372918011</v>
      </c>
    </row>
    <row r="12" spans="1:9" x14ac:dyDescent="0.25">
      <c r="A12" s="27" t="s">
        <v>3</v>
      </c>
      <c r="B12">
        <v>656</v>
      </c>
      <c r="C12">
        <v>5475.3</v>
      </c>
      <c r="D12">
        <v>2.4857370916669539</v>
      </c>
      <c r="E12">
        <v>3.0089000000000001E-2</v>
      </c>
      <c r="F12">
        <v>1.3453624047073539E-5</v>
      </c>
      <c r="G12">
        <v>3.7384079198181208</v>
      </c>
      <c r="H12">
        <v>-1.5215922456829389</v>
      </c>
      <c r="I12">
        <v>-1.5219065035189721</v>
      </c>
    </row>
    <row r="13" spans="1:9" x14ac:dyDescent="0.25">
      <c r="A13" s="27" t="s">
        <v>4</v>
      </c>
      <c r="B13">
        <v>65</v>
      </c>
      <c r="C13">
        <v>49.5</v>
      </c>
      <c r="D13">
        <v>2.320201140705981</v>
      </c>
      <c r="E13">
        <v>0.20679600000000001</v>
      </c>
      <c r="F13">
        <v>6.934703422321358E-3</v>
      </c>
      <c r="G13">
        <v>1.6946051989335691</v>
      </c>
      <c r="H13">
        <v>-0.6844578659394509</v>
      </c>
      <c r="I13">
        <v>-0.66743378565601574</v>
      </c>
    </row>
    <row r="14" spans="1:9" x14ac:dyDescent="0.25">
      <c r="A14" s="27" t="s">
        <v>4</v>
      </c>
      <c r="B14">
        <v>130</v>
      </c>
      <c r="C14">
        <v>197</v>
      </c>
      <c r="D14">
        <v>2.5647178748895119</v>
      </c>
      <c r="E14">
        <v>0.11812300000000001</v>
      </c>
      <c r="F14">
        <v>3.7332062627184158E-3</v>
      </c>
      <c r="G14">
        <v>2.2944662261615929</v>
      </c>
      <c r="H14">
        <v>-0.92766553167901522</v>
      </c>
      <c r="I14">
        <v>-0.93011496123636617</v>
      </c>
    </row>
    <row r="15" spans="1:9" x14ac:dyDescent="0.25">
      <c r="A15" s="27" t="s">
        <v>4</v>
      </c>
      <c r="B15">
        <v>196</v>
      </c>
      <c r="C15">
        <v>458</v>
      </c>
      <c r="D15">
        <v>4.6785562825393994</v>
      </c>
      <c r="E15">
        <v>8.3563999999999999E-2</v>
      </c>
      <c r="F15">
        <v>8.4189363276419187E-4</v>
      </c>
      <c r="G15">
        <v>2.6608654780038692</v>
      </c>
      <c r="H15">
        <v>-1.0779807796018559</v>
      </c>
      <c r="I15">
        <v>-1.0905624346294061</v>
      </c>
    </row>
    <row r="16" spans="1:9" x14ac:dyDescent="0.25">
      <c r="A16" s="27" t="s">
        <v>4</v>
      </c>
      <c r="B16">
        <v>262</v>
      </c>
      <c r="C16">
        <v>815.1</v>
      </c>
      <c r="D16">
        <v>7.0228990531767641</v>
      </c>
      <c r="E16">
        <v>6.4687999999999996E-2</v>
      </c>
      <c r="F16">
        <v>6.9115651869408861E-4</v>
      </c>
      <c r="G16">
        <v>2.9112108931375529</v>
      </c>
      <c r="H16">
        <v>-1.189176276010401</v>
      </c>
      <c r="I16">
        <v>-1.2001895398480109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5.2192000000000002E-2</v>
      </c>
      <c r="F17">
        <v>3.3162495550110671E-4</v>
      </c>
      <c r="G17">
        <v>3.1087679176780818</v>
      </c>
      <c r="H17">
        <v>-1.2823960606398179</v>
      </c>
      <c r="I17">
        <v>-1.2867004300291389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4.4528999999999999E-2</v>
      </c>
      <c r="F18">
        <v>2.238325266801053E-4</v>
      </c>
      <c r="G18">
        <v>3.2649358217826849</v>
      </c>
      <c r="H18">
        <v>-1.351357057829891</v>
      </c>
      <c r="I18">
        <v>-1.355086884184499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3.8776999999999999E-2</v>
      </c>
      <c r="F19">
        <v>1.5154060695257731E-4</v>
      </c>
      <c r="G19">
        <v>3.3988250669622899</v>
      </c>
      <c r="H19">
        <v>-1.411425793345078</v>
      </c>
      <c r="I19">
        <v>-1.413717438137748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3.4489000000000013E-2</v>
      </c>
      <c r="F20">
        <v>7.0528953865297715E-5</v>
      </c>
      <c r="G20">
        <v>3.51955237207016</v>
      </c>
      <c r="H20">
        <v>-1.462319397710834</v>
      </c>
      <c r="I20">
        <v>-1.4665843339534821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3.0643E-2</v>
      </c>
      <c r="F21">
        <v>8.0374816398615093E-5</v>
      </c>
      <c r="G21">
        <v>3.6191037702724662</v>
      </c>
      <c r="H21">
        <v>-1.5136687188153339</v>
      </c>
      <c r="I21">
        <v>-1.510178228411488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2.7987999999999999E-2</v>
      </c>
      <c r="F22">
        <v>6.9917411597144092E-5</v>
      </c>
      <c r="G22">
        <v>3.7093632564093162</v>
      </c>
      <c r="H22">
        <v>-1.5530281347598971</v>
      </c>
      <c r="I22">
        <v>-1.549703163103892</v>
      </c>
    </row>
    <row r="23" spans="1:9" x14ac:dyDescent="0.25">
      <c r="A23" s="27" t="s">
        <v>5</v>
      </c>
      <c r="B23">
        <v>65</v>
      </c>
      <c r="C23">
        <v>55.3</v>
      </c>
      <c r="D23">
        <v>2.2313423961572751</v>
      </c>
      <c r="E23">
        <v>0.21885499999999999</v>
      </c>
      <c r="F23">
        <v>5.0135324096112332E-3</v>
      </c>
      <c r="G23">
        <v>1.7427251313046981</v>
      </c>
      <c r="H23">
        <v>-0.65984352696905579</v>
      </c>
      <c r="I23">
        <v>-0.6476034812557715</v>
      </c>
    </row>
    <row r="24" spans="1:9" x14ac:dyDescent="0.25">
      <c r="A24" s="27" t="s">
        <v>5</v>
      </c>
      <c r="B24">
        <v>130</v>
      </c>
      <c r="C24">
        <v>211.6</v>
      </c>
      <c r="D24">
        <v>4.3772137256478576</v>
      </c>
      <c r="E24">
        <v>0.12554399999999999</v>
      </c>
      <c r="F24">
        <v>2.642351309808074E-3</v>
      </c>
      <c r="G24">
        <v>2.3255156633631482</v>
      </c>
      <c r="H24">
        <v>-0.90120403826095796</v>
      </c>
      <c r="I24">
        <v>-0.90473833236534196</v>
      </c>
    </row>
    <row r="25" spans="1:9" x14ac:dyDescent="0.25">
      <c r="A25" s="27" t="s">
        <v>5</v>
      </c>
      <c r="B25">
        <v>196</v>
      </c>
      <c r="C25">
        <v>478.7</v>
      </c>
      <c r="D25">
        <v>5.587784295526566</v>
      </c>
      <c r="E25">
        <v>8.723800000000001E-2</v>
      </c>
      <c r="F25">
        <v>1.475644341371667E-3</v>
      </c>
      <c r="G25">
        <v>2.680063427481949</v>
      </c>
      <c r="H25">
        <v>-1.0592942995229599</v>
      </c>
      <c r="I25">
        <v>-1.061169471038637</v>
      </c>
    </row>
    <row r="26" spans="1:9" x14ac:dyDescent="0.25">
      <c r="A26" s="27" t="s">
        <v>5</v>
      </c>
      <c r="B26">
        <v>262</v>
      </c>
      <c r="C26">
        <v>872.7</v>
      </c>
      <c r="D26">
        <v>5.3417641696769467</v>
      </c>
      <c r="E26">
        <v>6.7844000000000002E-2</v>
      </c>
      <c r="F26">
        <v>6.1897262549414158E-4</v>
      </c>
      <c r="G26">
        <v>2.940864975966722</v>
      </c>
      <c r="H26">
        <v>-1.168488554520275</v>
      </c>
      <c r="I26">
        <v>-1.176238545860278</v>
      </c>
    </row>
    <row r="27" spans="1:9" x14ac:dyDescent="0.25">
      <c r="A27" s="27" t="s">
        <v>5</v>
      </c>
      <c r="B27">
        <v>327</v>
      </c>
      <c r="C27">
        <v>1350.5</v>
      </c>
      <c r="D27">
        <v>5.814254514170802</v>
      </c>
      <c r="E27">
        <v>5.5834000000000009E-2</v>
      </c>
      <c r="F27">
        <v>3.8417935626186052E-4</v>
      </c>
      <c r="G27">
        <v>3.1304945885234701</v>
      </c>
      <c r="H27">
        <v>-1.2531012577720031</v>
      </c>
      <c r="I27">
        <v>-1.2599056260692181</v>
      </c>
    </row>
    <row r="28" spans="1:9" x14ac:dyDescent="0.25">
      <c r="A28" s="27" t="s">
        <v>5</v>
      </c>
      <c r="B28">
        <v>393</v>
      </c>
      <c r="C28">
        <v>1956.9</v>
      </c>
      <c r="D28">
        <v>8.1846061467719871</v>
      </c>
      <c r="E28">
        <v>4.7228000000000013E-2</v>
      </c>
      <c r="F28">
        <v>2.4945629766442941E-4</v>
      </c>
      <c r="G28">
        <v>3.2915686332421501</v>
      </c>
      <c r="H28">
        <v>-1.3258004454322969</v>
      </c>
      <c r="I28">
        <v>-1.33097361401347</v>
      </c>
    </row>
    <row r="29" spans="1:9" x14ac:dyDescent="0.25">
      <c r="A29" s="27" t="s">
        <v>5</v>
      </c>
      <c r="B29">
        <v>458</v>
      </c>
      <c r="C29">
        <v>2651.9</v>
      </c>
      <c r="D29">
        <v>8.6106523175270127</v>
      </c>
      <c r="E29">
        <v>4.1008999999999997E-2</v>
      </c>
      <c r="F29">
        <v>2.1343461137625559E-4</v>
      </c>
      <c r="G29">
        <v>3.423557143312292</v>
      </c>
      <c r="H29">
        <v>-1.387120820807052</v>
      </c>
      <c r="I29">
        <v>-1.389208681362945</v>
      </c>
    </row>
    <row r="30" spans="1:9" x14ac:dyDescent="0.25">
      <c r="A30" s="27" t="s">
        <v>5</v>
      </c>
      <c r="B30">
        <v>524</v>
      </c>
      <c r="C30">
        <v>3473</v>
      </c>
      <c r="D30">
        <v>6.7396010432533933</v>
      </c>
      <c r="E30">
        <v>3.6410999999999999E-2</v>
      </c>
      <c r="F30">
        <v>1.10809646591701E-4</v>
      </c>
      <c r="G30">
        <v>3.5407047833107619</v>
      </c>
      <c r="H30">
        <v>-1.438767393339661</v>
      </c>
      <c r="I30">
        <v>-1.440895761560437</v>
      </c>
    </row>
    <row r="31" spans="1:9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3.2689999999999997E-2</v>
      </c>
      <c r="F31">
        <v>8.2515991716084299E-5</v>
      </c>
      <c r="G31">
        <v>3.6432650997301961</v>
      </c>
      <c r="H31">
        <v>-1.485585079419631</v>
      </c>
      <c r="I31">
        <v>-1.486146722654665</v>
      </c>
    </row>
    <row r="32" spans="1:9" x14ac:dyDescent="0.25">
      <c r="A32" s="27" t="s">
        <v>5</v>
      </c>
      <c r="B32">
        <v>655</v>
      </c>
      <c r="C32">
        <v>5425.8</v>
      </c>
      <c r="D32">
        <v>7.5037768268163907</v>
      </c>
      <c r="E32">
        <v>2.9829000000000001E-2</v>
      </c>
      <c r="F32">
        <v>6.1489836558572788E-5</v>
      </c>
      <c r="G32">
        <v>3.734463781224838</v>
      </c>
      <c r="H32">
        <v>-1.525361305865613</v>
      </c>
      <c r="I32">
        <v>-1.5263847809235349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0.25696099999999999</v>
      </c>
      <c r="F33">
        <v>8.0657760458756975E-3</v>
      </c>
      <c r="G33">
        <v>1.697229342759718</v>
      </c>
      <c r="H33">
        <v>-0.59013278627985</v>
      </c>
      <c r="I33">
        <v>-0.59819379922267901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0.12947800000000001</v>
      </c>
      <c r="F34">
        <v>2.688015707626063E-3</v>
      </c>
      <c r="G34">
        <v>2.3291944150884509</v>
      </c>
      <c r="H34">
        <v>-0.88780401760798899</v>
      </c>
      <c r="I34">
        <v>-0.87468391726347172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9.4518000000000005E-2</v>
      </c>
      <c r="F35">
        <v>1.582121501163689E-3</v>
      </c>
      <c r="G35">
        <v>2.6724673130680818</v>
      </c>
      <c r="H35">
        <v>-1.024485476609637</v>
      </c>
      <c r="I35">
        <v>-1.024868742720443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7.0444999999999994E-2</v>
      </c>
      <c r="F36">
        <v>1.3773349870916181E-3</v>
      </c>
      <c r="G36">
        <v>2.9224140241456338</v>
      </c>
      <c r="H36">
        <v>-1.152149826535751</v>
      </c>
      <c r="I36">
        <v>-1.134222564119282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6.1264999999999993E-2</v>
      </c>
      <c r="F37">
        <v>7.3010843943439874E-4</v>
      </c>
      <c r="G37">
        <v>3.1161094140633439</v>
      </c>
      <c r="H37">
        <v>-1.2127875621524089</v>
      </c>
      <c r="I37">
        <v>-1.2189659519539291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5.2907999999999997E-2</v>
      </c>
      <c r="F38">
        <v>2.878417775252388E-4</v>
      </c>
      <c r="G38">
        <v>3.2727464112011901</v>
      </c>
      <c r="H38">
        <v>-1.276478655126053</v>
      </c>
      <c r="I38">
        <v>-1.287495976356402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4.6008999999999987E-2</v>
      </c>
      <c r="F39">
        <v>3.895679943504369E-4</v>
      </c>
      <c r="G39">
        <v>3.4015039319216358</v>
      </c>
      <c r="H39">
        <v>-1.3371572059701859</v>
      </c>
      <c r="I39">
        <v>-1.3438284916510399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4.0839E-2</v>
      </c>
      <c r="F40">
        <v>6.5903127560246948E-5</v>
      </c>
      <c r="G40">
        <v>3.5185665784431182</v>
      </c>
      <c r="H40">
        <v>-1.3889249007623801</v>
      </c>
      <c r="I40">
        <v>-1.3950443995739641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3.6838999999999997E-2</v>
      </c>
      <c r="F41">
        <v>5.5726514734410248E-5</v>
      </c>
      <c r="G41">
        <v>3.620531634720475</v>
      </c>
      <c r="H41">
        <v>-1.4336921673019081</v>
      </c>
      <c r="I41">
        <v>-1.4396549827859071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3.322E-2</v>
      </c>
      <c r="F42">
        <v>2.4810392087904629E-5</v>
      </c>
      <c r="G42">
        <v>3.7163039050168698</v>
      </c>
      <c r="H42">
        <v>-1.4786003718846239</v>
      </c>
      <c r="I42">
        <v>-1.4815561692260191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SGT Descriptors</vt:lpstr>
      <vt:lpstr>Nodes-Edges</vt:lpstr>
      <vt:lpstr>Nodes-Degree</vt:lpstr>
      <vt:lpstr>Nodes-Diameter</vt:lpstr>
      <vt:lpstr>Nodes-G. Density</vt:lpstr>
      <vt:lpstr>Nodes-Avg. Btwn. C</vt:lpstr>
      <vt:lpstr>Nodes-Avg. EigVec. C.</vt:lpstr>
      <vt:lpstr>Nodes-Avg. Close.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Owuor, Dickson Odhiambo</dc:creator>
  <cp:lastModifiedBy>Dickson Owuor</cp:lastModifiedBy>
  <dcterms:created xsi:type="dcterms:W3CDTF">2025-05-13T13:16:07Z</dcterms:created>
  <dcterms:modified xsi:type="dcterms:W3CDTF">2025-10-17T21:43:20Z</dcterms:modified>
</cp:coreProperties>
</file>