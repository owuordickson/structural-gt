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wuorjnr/Downloads/Sam Chigome/"/>
    </mc:Choice>
  </mc:AlternateContent>
  <xr:revisionPtr revIDLastSave="0" documentId="13_ncr:1_{5BB239B3-A3C5-A349-B185-7047AB53163E}" xr6:coauthVersionLast="47" xr6:coauthVersionMax="47" xr10:uidLastSave="{00000000-0000-0000-0000-000000000000}"/>
  <bookViews>
    <workbookView xWindow="13540" yWindow="2320" windowWidth="36880" windowHeight="22720" activeTab="7" xr2:uid="{E8351862-8131-4AC1-82A9-213539580791}"/>
  </bookViews>
  <sheets>
    <sheet name="SGT Descriptors" sheetId="2" r:id="rId1"/>
    <sheet name="Nodes-Edges" sheetId="3" r:id="rId2"/>
    <sheet name="Nodes-Degree" sheetId="4" r:id="rId3"/>
    <sheet name="Nodes-Diameter" sheetId="5" r:id="rId4"/>
    <sheet name="Nodes-G. Density" sheetId="11" r:id="rId5"/>
    <sheet name="Nodes-Avg. Btwn. C" sheetId="10" r:id="rId6"/>
    <sheet name="Nodes-Avg. EigVec. C." sheetId="13" r:id="rId7"/>
    <sheet name="Nodes-Avg. Close. C" sheetId="14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2" l="1"/>
  <c r="H29" i="2"/>
  <c r="H30" i="2"/>
  <c r="H31" i="2"/>
  <c r="H32" i="2"/>
  <c r="H33" i="2"/>
  <c r="H34" i="2"/>
  <c r="G28" i="2"/>
  <c r="G29" i="2"/>
  <c r="G30" i="2"/>
  <c r="G31" i="2"/>
  <c r="G32" i="2"/>
  <c r="G33" i="2"/>
  <c r="G34" i="2"/>
  <c r="H20" i="2"/>
  <c r="H21" i="2"/>
  <c r="H22" i="2"/>
  <c r="H23" i="2"/>
  <c r="H24" i="2"/>
  <c r="H25" i="2"/>
  <c r="H26" i="2"/>
  <c r="G20" i="2"/>
  <c r="G21" i="2"/>
  <c r="G22" i="2"/>
  <c r="G23" i="2"/>
  <c r="G24" i="2"/>
  <c r="G25" i="2"/>
  <c r="G26" i="2"/>
  <c r="H12" i="2"/>
  <c r="H13" i="2"/>
  <c r="H14" i="2"/>
  <c r="H15" i="2"/>
  <c r="H16" i="2"/>
  <c r="H17" i="2"/>
  <c r="H18" i="2"/>
  <c r="G12" i="2"/>
  <c r="G13" i="2"/>
  <c r="G14" i="2"/>
  <c r="G15" i="2"/>
  <c r="G16" i="2"/>
  <c r="G17" i="2"/>
  <c r="G18" i="2"/>
  <c r="H27" i="2"/>
  <c r="G27" i="2"/>
  <c r="H19" i="2"/>
  <c r="G19" i="2"/>
  <c r="H11" i="2"/>
  <c r="G11" i="2"/>
  <c r="H4" i="2"/>
  <c r="H5" i="2"/>
  <c r="H6" i="2"/>
  <c r="H7" i="2"/>
  <c r="H8" i="2"/>
  <c r="H9" i="2"/>
  <c r="H10" i="2"/>
  <c r="H3" i="2"/>
  <c r="G4" i="2"/>
  <c r="G5" i="2"/>
  <c r="G6" i="2"/>
  <c r="G7" i="2"/>
  <c r="G8" i="2"/>
  <c r="G9" i="2"/>
  <c r="G10" i="2"/>
  <c r="G3" i="2"/>
</calcChain>
</file>

<file path=xl/sharedStrings.xml><?xml version="1.0" encoding="utf-8"?>
<sst xmlns="http://schemas.openxmlformats.org/spreadsheetml/2006/main" count="449" uniqueCount="34">
  <si>
    <t>ND</t>
  </si>
  <si>
    <t>CC</t>
  </si>
  <si>
    <t>BC</t>
  </si>
  <si>
    <t>GD</t>
  </si>
  <si>
    <t>BSE 017</t>
  </si>
  <si>
    <t>BSE 025</t>
  </si>
  <si>
    <t>BSE 024</t>
  </si>
  <si>
    <t>BSE 011</t>
  </si>
  <si>
    <t>Std. Dev.</t>
  </si>
  <si>
    <t>Nodes</t>
  </si>
  <si>
    <t>Edges</t>
  </si>
  <si>
    <t>EC</t>
  </si>
  <si>
    <t>ANC: Average Node Connectivity</t>
  </si>
  <si>
    <t>ND: Average Node Degree</t>
  </si>
  <si>
    <t>CC: Avg. Closessness Centrality</t>
  </si>
  <si>
    <t>EC: Avg. Eigenvector Centrality</t>
  </si>
  <si>
    <t>BC: Avg. Betweenness Centrality</t>
  </si>
  <si>
    <t>GD: Graph Density</t>
  </si>
  <si>
    <t>Value-1</t>
  </si>
  <si>
    <t>Value-2</t>
  </si>
  <si>
    <t>Value-3</t>
  </si>
  <si>
    <t>Value-4</t>
  </si>
  <si>
    <t>Diameter</t>
  </si>
  <si>
    <t>Avg.</t>
  </si>
  <si>
    <t>Parameter</t>
  </si>
  <si>
    <t>Material</t>
  </si>
  <si>
    <t>kernel-dim</t>
  </si>
  <si>
    <t>x-avg</t>
  </si>
  <si>
    <t>x-std</t>
  </si>
  <si>
    <t>y-avg</t>
  </si>
  <si>
    <t>y-std</t>
  </si>
  <si>
    <t>log-x</t>
  </si>
  <si>
    <t>log-y</t>
  </si>
  <si>
    <t>log-y-fit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</si>
</sst>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theme="9" tint="-0.249977111117893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i/>
      <sz val="11"/>
      <color rgb="FF0070C0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sz val="11"/>
      <color theme="8" tint="-0.249977111117893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b/>
      <sz val="11"/>
      <color rgb="FF3C7D22"/>
      <name val="Aptos Narrow"/>
      <family val="2"/>
      <scheme val="minor"/>
    </font>
    <font>
      <b/>
      <sz val="11"/>
      <color rgb="FF782170"/>
      <name val="Aptos Narrow"/>
      <family val="2"/>
      <scheme val="minor"/>
    </font>
    <font>
      <b/>
      <sz val="11"/>
      <color theme="5" tint="-0.249977111117893"/>
      <name val="Aptos Narrow"/>
      <family val="2"/>
      <scheme val="minor"/>
    </font>
    <font>
      <sz val="11"/>
      <color theme="2" tint="-0.749992370372631"/>
      <name val="Aptos Narrow"/>
      <family val="2"/>
      <scheme val="minor"/>
    </font>
    <font>
      <b/>
      <sz val="11"/>
      <color theme="2" tint="-0.749992370372631"/>
      <name val="Aptos Narrow"/>
      <family val="2"/>
      <scheme val="minor"/>
    </font>
    <font>
      <sz val="11"/>
      <color rgb="FF00B0F0"/>
      <name val="Aptos Narrow"/>
      <family val="2"/>
      <scheme val="minor"/>
    </font>
    <font>
      <b/>
      <sz val="11"/>
      <color rgb="FF00B0F0"/>
      <name val="Aptos Narrow"/>
      <family val="2"/>
      <scheme val="minor"/>
    </font>
    <font>
      <b/>
      <sz val="11"/>
      <color theme="8" tint="-0.249977111117893"/>
      <name val="Aptos Narrow"/>
      <family val="2"/>
      <scheme val="minor"/>
    </font>
    <font>
      <b/>
      <sz val="11"/>
      <color rgb="FF0070C0"/>
      <name val="Aptos Narrow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sz val="11"/>
      <color rgb="FF000000"/>
      <name val="Calibri"/>
      <family val="2"/>
    </font>
    <font>
      <sz val="11"/>
      <color rgb="FF0070C0"/>
      <name val="Aptos Narrow"/>
      <family val="2"/>
      <scheme val="minor"/>
    </font>
    <font>
      <b/>
      <sz val="11"/>
      <color theme="9" tint="-0.249977111117893"/>
      <name val="Aptos Narrow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scheme val="minor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1" fillId="0" borderId="1" xfId="0" applyFont="1" applyBorder="1" applyAlignment="1">
      <alignment horizontal="center" vertical="top"/>
    </xf>
    <xf numFmtId="0" fontId="21" fillId="0" borderId="1" xfId="0" applyFont="1" applyBorder="1" applyAlignment="1">
      <alignment horizontal="center" vertical="top"/>
    </xf>
    <xf numFmtId="0" fontId="26" fillId="0" borderId="0" xfId="0" applyFont="1"/>
    <xf numFmtId="0" fontId="27" fillId="0" borderId="1" xfId="0" applyFont="1" applyBorder="1" applyAlignment="1">
      <alignment horizontal="center" vertical="top"/>
    </xf>
    <xf numFmtId="0" fontId="28" fillId="0" borderId="2" xfId="0" applyFont="1" applyBorder="1" applyAlignment="1">
      <alignment horizontal="center" vertical="top"/>
    </xf>
    <xf numFmtId="0" fontId="28" fillId="0" borderId="0" xfId="0" applyFont="1"/>
    <xf numFmtId="0" fontId="2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82170"/>
      <color rgb="FF3C7D22"/>
      <color rgb="FF215C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BSE</a:t>
            </a:r>
            <a:r>
              <a:rPr lang="en-US" baseline="0"/>
              <a:t> Material (x250)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3"/>
          <c:order val="0"/>
          <c:tx>
            <c:strRef>
              <c:f>'SGT Descriptors'!$A$27</c:f>
              <c:strCache>
                <c:ptCount val="1"/>
                <c:pt idx="0">
                  <c:v>BSE 011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'SGT Descriptors'!$B$3:$B$10</c:f>
              <c:strCache>
                <c:ptCount val="8"/>
                <c:pt idx="0">
                  <c:v>Nodes</c:v>
                </c:pt>
                <c:pt idx="1">
                  <c:v>Edges</c:v>
                </c:pt>
                <c:pt idx="2">
                  <c:v>ND</c:v>
                </c:pt>
                <c:pt idx="3">
                  <c:v>Diameter</c:v>
                </c:pt>
                <c:pt idx="4">
                  <c:v>GD</c:v>
                </c:pt>
                <c:pt idx="5">
                  <c:v>BC</c:v>
                </c:pt>
                <c:pt idx="6">
                  <c:v>EC</c:v>
                </c:pt>
                <c:pt idx="7">
                  <c:v>CC</c:v>
                </c:pt>
              </c:strCache>
            </c:strRef>
          </c:cat>
          <c:val>
            <c:numRef>
              <c:f>'SGT Descriptors'!$G$27:$G$34</c:f>
              <c:numCache>
                <c:formatCode>General</c:formatCode>
                <c:ptCount val="8"/>
                <c:pt idx="0">
                  <c:v>7452.5</c:v>
                </c:pt>
                <c:pt idx="1">
                  <c:v>13942.5</c:v>
                </c:pt>
                <c:pt idx="2">
                  <c:v>3.7417024999999997</c:v>
                </c:pt>
                <c:pt idx="3">
                  <c:v>98.75</c:v>
                </c:pt>
                <c:pt idx="4">
                  <c:v>5.0000000000000001E-4</c:v>
                </c:pt>
                <c:pt idx="5">
                  <c:v>4.9300000000000004E-3</c:v>
                </c:pt>
                <c:pt idx="6">
                  <c:v>9.0249999999999987E-4</c:v>
                </c:pt>
                <c:pt idx="7">
                  <c:v>2.7202499999999998E-2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A5B0-9940-AC4B-8A5DFFF484A2}"/>
            </c:ext>
          </c:extLst>
        </c:ser>
        <c:ser>
          <c:idx val="4"/>
          <c:order val="1"/>
          <c:tx>
            <c:strRef>
              <c:f>'SGT Descriptors'!$A$3</c:f>
              <c:strCache>
                <c:ptCount val="1"/>
                <c:pt idx="0">
                  <c:v>BSE 017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'SGT Descriptors'!$B$3:$B$10</c:f>
              <c:strCache>
                <c:ptCount val="8"/>
                <c:pt idx="0">
                  <c:v>Nodes</c:v>
                </c:pt>
                <c:pt idx="1">
                  <c:v>Edges</c:v>
                </c:pt>
                <c:pt idx="2">
                  <c:v>ND</c:v>
                </c:pt>
                <c:pt idx="3">
                  <c:v>Diameter</c:v>
                </c:pt>
                <c:pt idx="4">
                  <c:v>GD</c:v>
                </c:pt>
                <c:pt idx="5">
                  <c:v>BC</c:v>
                </c:pt>
                <c:pt idx="6">
                  <c:v>EC</c:v>
                </c:pt>
                <c:pt idx="7">
                  <c:v>CC</c:v>
                </c:pt>
              </c:strCache>
            </c:strRef>
          </c:cat>
          <c:val>
            <c:numRef>
              <c:f>'SGT Descriptors'!$G$3:$G$10</c:f>
              <c:numCache>
                <c:formatCode>General</c:formatCode>
                <c:ptCount val="8"/>
                <c:pt idx="0">
                  <c:v>7777</c:v>
                </c:pt>
                <c:pt idx="1">
                  <c:v>13819.5</c:v>
                </c:pt>
                <c:pt idx="2">
                  <c:v>3.5539375</c:v>
                </c:pt>
                <c:pt idx="3">
                  <c:v>113.5</c:v>
                </c:pt>
                <c:pt idx="4">
                  <c:v>4.6000000000000001E-4</c:v>
                </c:pt>
                <c:pt idx="5">
                  <c:v>5.1875000000000003E-3</c:v>
                </c:pt>
                <c:pt idx="6">
                  <c:v>1.3500000000000001E-3</c:v>
                </c:pt>
                <c:pt idx="7">
                  <c:v>2.4805000000000001E-2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A5B0-9940-AC4B-8A5DFFF484A2}"/>
            </c:ext>
          </c:extLst>
        </c:ser>
        <c:ser>
          <c:idx val="5"/>
          <c:order val="2"/>
          <c:tx>
            <c:strRef>
              <c:f>'SGT Descriptors'!$A$19</c:f>
              <c:strCache>
                <c:ptCount val="1"/>
                <c:pt idx="0">
                  <c:v>BSE 024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'SGT Descriptors'!$B$3:$B$10</c:f>
              <c:strCache>
                <c:ptCount val="8"/>
                <c:pt idx="0">
                  <c:v>Nodes</c:v>
                </c:pt>
                <c:pt idx="1">
                  <c:v>Edges</c:v>
                </c:pt>
                <c:pt idx="2">
                  <c:v>ND</c:v>
                </c:pt>
                <c:pt idx="3">
                  <c:v>Diameter</c:v>
                </c:pt>
                <c:pt idx="4">
                  <c:v>GD</c:v>
                </c:pt>
                <c:pt idx="5">
                  <c:v>BC</c:v>
                </c:pt>
                <c:pt idx="6">
                  <c:v>EC</c:v>
                </c:pt>
                <c:pt idx="7">
                  <c:v>CC</c:v>
                </c:pt>
              </c:strCache>
            </c:strRef>
          </c:cat>
          <c:val>
            <c:numRef>
              <c:f>'SGT Descriptors'!$G$19:$G$26</c:f>
              <c:numCache>
                <c:formatCode>General</c:formatCode>
                <c:ptCount val="8"/>
                <c:pt idx="0">
                  <c:v>7763.5</c:v>
                </c:pt>
                <c:pt idx="1">
                  <c:v>13755.5</c:v>
                </c:pt>
                <c:pt idx="2">
                  <c:v>3.5436299999999998</c:v>
                </c:pt>
                <c:pt idx="3">
                  <c:v>113.75</c:v>
                </c:pt>
                <c:pt idx="4">
                  <c:v>4.6000000000000001E-4</c:v>
                </c:pt>
                <c:pt idx="5">
                  <c:v>5.2824999999999999E-3</c:v>
                </c:pt>
                <c:pt idx="6">
                  <c:v>1.2700000000000001E-3</c:v>
                </c:pt>
                <c:pt idx="7">
                  <c:v>2.443E-2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A5B0-9940-AC4B-8A5DFFF484A2}"/>
            </c:ext>
          </c:extLst>
        </c:ser>
        <c:ser>
          <c:idx val="6"/>
          <c:order val="3"/>
          <c:tx>
            <c:strRef>
              <c:f>'SGT Descriptors'!$A$11</c:f>
              <c:strCache>
                <c:ptCount val="1"/>
                <c:pt idx="0">
                  <c:v>BSE 025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'SGT Descriptors'!$B$3:$B$10</c:f>
              <c:strCache>
                <c:ptCount val="8"/>
                <c:pt idx="0">
                  <c:v>Nodes</c:v>
                </c:pt>
                <c:pt idx="1">
                  <c:v>Edges</c:v>
                </c:pt>
                <c:pt idx="2">
                  <c:v>ND</c:v>
                </c:pt>
                <c:pt idx="3">
                  <c:v>Diameter</c:v>
                </c:pt>
                <c:pt idx="4">
                  <c:v>GD</c:v>
                </c:pt>
                <c:pt idx="5">
                  <c:v>BC</c:v>
                </c:pt>
                <c:pt idx="6">
                  <c:v>EC</c:v>
                </c:pt>
                <c:pt idx="7">
                  <c:v>CC</c:v>
                </c:pt>
              </c:strCache>
            </c:strRef>
          </c:cat>
          <c:val>
            <c:numRef>
              <c:f>'SGT Descriptors'!$G$11:$G$18</c:f>
              <c:numCache>
                <c:formatCode>General</c:formatCode>
                <c:ptCount val="8"/>
                <c:pt idx="0">
                  <c:v>7341</c:v>
                </c:pt>
                <c:pt idx="1">
                  <c:v>12044</c:v>
                </c:pt>
                <c:pt idx="2">
                  <c:v>3.2812999999999999</c:v>
                </c:pt>
                <c:pt idx="3">
                  <c:v>117.25</c:v>
                </c:pt>
                <c:pt idx="4">
                  <c:v>4.4999999999999999E-4</c:v>
                </c:pt>
                <c:pt idx="5">
                  <c:v>5.8725000000000001E-3</c:v>
                </c:pt>
                <c:pt idx="6">
                  <c:v>8.7000000000000011E-4</c:v>
                </c:pt>
                <c:pt idx="7">
                  <c:v>2.3247500000000001E-2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A5B0-9940-AC4B-8A5DFFF484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666128"/>
        <c:axId val="588660848"/>
        <c:extLst/>
      </c:radarChart>
      <c:catAx>
        <c:axId val="58866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660848"/>
        <c:crosses val="autoZero"/>
        <c:auto val="1"/>
        <c:lblAlgn val="ctr"/>
        <c:lblOffset val="100"/>
        <c:noMultiLvlLbl val="0"/>
      </c:catAx>
      <c:valAx>
        <c:axId val="58866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666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 InL Material (x250)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8"/>
          <c:order val="0"/>
          <c:tx>
            <c:strRef>
              <c:f>'Nodes-G. Density'!$M$22</c:f>
              <c:strCache>
                <c:ptCount val="1"/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strRef>
              <c:f>'Nodes-G. Density'!$C$2:$I$2</c:f>
              <c:strCache>
                <c:ptCount val="7"/>
                <c:pt idx="0">
                  <c:v>x-avg</c:v>
                </c:pt>
                <c:pt idx="1">
                  <c:v>x-std</c:v>
                </c:pt>
                <c:pt idx="2">
                  <c:v>y-avg</c:v>
                </c:pt>
                <c:pt idx="3">
                  <c:v>y-std</c:v>
                </c:pt>
                <c:pt idx="4">
                  <c:v>log-x</c:v>
                </c:pt>
                <c:pt idx="5">
                  <c:v>log-y</c:v>
                </c:pt>
                <c:pt idx="6">
                  <c:v>log-y-fit</c:v>
                </c:pt>
              </c:strCache>
            </c:strRef>
          </c:cat>
          <c:val>
            <c:numRef>
              <c:f>'Nodes-G. Density'!$N$22:$T$22</c:f>
              <c:numCache>
                <c:formatCode>General</c:formatCode>
                <c:ptCount val="7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8-D3BD-444F-9F1A-1C52D27022F6}"/>
            </c:ext>
          </c:extLst>
        </c:ser>
        <c:ser>
          <c:idx val="9"/>
          <c:order val="1"/>
          <c:tx>
            <c:strRef>
              <c:f>'Nodes-G. Density'!$M$23</c:f>
              <c:strCache>
                <c:ptCount val="1"/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Ref>
              <c:f>'Nodes-G. Density'!$C$2:$I$2</c:f>
              <c:strCache>
                <c:ptCount val="7"/>
                <c:pt idx="0">
                  <c:v>x-avg</c:v>
                </c:pt>
                <c:pt idx="1">
                  <c:v>x-std</c:v>
                </c:pt>
                <c:pt idx="2">
                  <c:v>y-avg</c:v>
                </c:pt>
                <c:pt idx="3">
                  <c:v>y-std</c:v>
                </c:pt>
                <c:pt idx="4">
                  <c:v>log-x</c:v>
                </c:pt>
                <c:pt idx="5">
                  <c:v>log-y</c:v>
                </c:pt>
                <c:pt idx="6">
                  <c:v>log-y-fit</c:v>
                </c:pt>
              </c:strCache>
            </c:strRef>
          </c:cat>
          <c:val>
            <c:numRef>
              <c:f>'Nodes-G. Density'!$N$23:$T$23</c:f>
              <c:numCache>
                <c:formatCode>General</c:formatCode>
                <c:ptCount val="7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9-D3BD-444F-9F1A-1C52D27022F6}"/>
            </c:ext>
          </c:extLst>
        </c:ser>
        <c:ser>
          <c:idx val="10"/>
          <c:order val="2"/>
          <c:tx>
            <c:strRef>
              <c:f>'Nodes-G. Density'!$M$24</c:f>
              <c:strCache>
                <c:ptCount val="1"/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strRef>
              <c:f>'Nodes-G. Density'!$C$2:$I$2</c:f>
              <c:strCache>
                <c:ptCount val="7"/>
                <c:pt idx="0">
                  <c:v>x-avg</c:v>
                </c:pt>
                <c:pt idx="1">
                  <c:v>x-std</c:v>
                </c:pt>
                <c:pt idx="2">
                  <c:v>y-avg</c:v>
                </c:pt>
                <c:pt idx="3">
                  <c:v>y-std</c:v>
                </c:pt>
                <c:pt idx="4">
                  <c:v>log-x</c:v>
                </c:pt>
                <c:pt idx="5">
                  <c:v>log-y</c:v>
                </c:pt>
                <c:pt idx="6">
                  <c:v>log-y-fit</c:v>
                </c:pt>
              </c:strCache>
            </c:strRef>
          </c:cat>
          <c:val>
            <c:numRef>
              <c:f>'Nodes-G. Density'!$N$24:$T$24</c:f>
              <c:numCache>
                <c:formatCode>General</c:formatCode>
                <c:ptCount val="7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A-D3BD-444F-9F1A-1C52D27022F6}"/>
            </c:ext>
          </c:extLst>
        </c:ser>
        <c:ser>
          <c:idx val="11"/>
          <c:order val="3"/>
          <c:tx>
            <c:strRef>
              <c:f>'Nodes-G. Density'!$M$25</c:f>
              <c:strCache>
                <c:ptCount val="1"/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'Nodes-G. Density'!$C$2:$I$2</c:f>
              <c:strCache>
                <c:ptCount val="7"/>
                <c:pt idx="0">
                  <c:v>x-avg</c:v>
                </c:pt>
                <c:pt idx="1">
                  <c:v>x-std</c:v>
                </c:pt>
                <c:pt idx="2">
                  <c:v>y-avg</c:v>
                </c:pt>
                <c:pt idx="3">
                  <c:v>y-std</c:v>
                </c:pt>
                <c:pt idx="4">
                  <c:v>log-x</c:v>
                </c:pt>
                <c:pt idx="5">
                  <c:v>log-y</c:v>
                </c:pt>
                <c:pt idx="6">
                  <c:v>log-y-fit</c:v>
                </c:pt>
              </c:strCache>
            </c:strRef>
          </c:cat>
          <c:val>
            <c:numRef>
              <c:f>'Nodes-G. Density'!$N$25:$T$25</c:f>
              <c:numCache>
                <c:formatCode>General</c:formatCode>
                <c:ptCount val="7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B-D3BD-444F-9F1A-1C52D27022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0753744"/>
        <c:axId val="380754224"/>
        <c:extLst/>
      </c:radarChart>
      <c:catAx>
        <c:axId val="38075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754224"/>
        <c:crosses val="autoZero"/>
        <c:auto val="1"/>
        <c:lblAlgn val="ctr"/>
        <c:lblOffset val="100"/>
        <c:noMultiLvlLbl val="0"/>
      </c:catAx>
      <c:valAx>
        <c:axId val="38075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75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BSE</a:t>
            </a:r>
            <a:r>
              <a:rPr lang="en-US" baseline="0"/>
              <a:t> Material (x250)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2"/>
          <c:order val="0"/>
          <c:tx>
            <c:strRef>
              <c:f>'Nodes-G. Density'!$B$22</c:f>
              <c:strCache>
                <c:ptCount val="1"/>
                <c:pt idx="0">
                  <c:v>589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'Nodes-G. Density'!$C$21:$I$21</c:f>
              <c:numCache>
                <c:formatCode>General</c:formatCode>
                <c:ptCount val="7"/>
                <c:pt idx="0">
                  <c:v>3294.9</c:v>
                </c:pt>
                <c:pt idx="1">
                  <c:v>4.3879886559156516</c:v>
                </c:pt>
                <c:pt idx="2">
                  <c:v>3.4486999999999997E-2</c:v>
                </c:pt>
                <c:pt idx="3">
                  <c:v>1.064273356698253E-4</c:v>
                </c:pt>
                <c:pt idx="4">
                  <c:v>3.5178422383208559</c:v>
                </c:pt>
                <c:pt idx="5">
                  <c:v>-1.4623445829626329</c:v>
                </c:pt>
                <c:pt idx="6">
                  <c:v>-1.4647258602954349</c:v>
                </c:pt>
              </c:numCache>
            </c:numRef>
          </c:cat>
          <c:val>
            <c:numRef>
              <c:f>'Nodes-G. Density'!$C$22:$I$22</c:f>
              <c:numCache>
                <c:formatCode>General</c:formatCode>
                <c:ptCount val="7"/>
                <c:pt idx="0">
                  <c:v>4152.6000000000004</c:v>
                </c:pt>
                <c:pt idx="1">
                  <c:v>5.2877216265609137</c:v>
                </c:pt>
                <c:pt idx="2">
                  <c:v>3.0827E-2</c:v>
                </c:pt>
                <c:pt idx="3">
                  <c:v>7.7374270773803059E-5</c:v>
                </c:pt>
                <c:pt idx="4">
                  <c:v>3.6183200996244</c:v>
                </c:pt>
                <c:pt idx="5">
                  <c:v>-1.511068737577747</c:v>
                </c:pt>
                <c:pt idx="6">
                  <c:v>-1.508846981092431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B043-7F41-9CF5-6A9DC9A4370B}"/>
            </c:ext>
          </c:extLst>
        </c:ser>
        <c:ser>
          <c:idx val="3"/>
          <c:order val="1"/>
          <c:tx>
            <c:strRef>
              <c:f>'Nodes-G. Density'!$B$23</c:f>
              <c:strCache>
                <c:ptCount val="1"/>
                <c:pt idx="0">
                  <c:v>655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'Nodes-G. Density'!$C$21:$I$21</c:f>
              <c:numCache>
                <c:formatCode>General</c:formatCode>
                <c:ptCount val="7"/>
                <c:pt idx="0">
                  <c:v>3294.9</c:v>
                </c:pt>
                <c:pt idx="1">
                  <c:v>4.3879886559156516</c:v>
                </c:pt>
                <c:pt idx="2">
                  <c:v>3.4486999999999997E-2</c:v>
                </c:pt>
                <c:pt idx="3">
                  <c:v>1.064273356698253E-4</c:v>
                </c:pt>
                <c:pt idx="4">
                  <c:v>3.5178422383208559</c:v>
                </c:pt>
                <c:pt idx="5">
                  <c:v>-1.4623445829626329</c:v>
                </c:pt>
                <c:pt idx="6">
                  <c:v>-1.4647258602954349</c:v>
                </c:pt>
              </c:numCache>
            </c:numRef>
          </c:cat>
          <c:val>
            <c:numRef>
              <c:f>'Nodes-G. Density'!$C$23:$I$23</c:f>
              <c:numCache>
                <c:formatCode>General</c:formatCode>
                <c:ptCount val="7"/>
                <c:pt idx="0">
                  <c:v>5122</c:v>
                </c:pt>
                <c:pt idx="1">
                  <c:v>3.245509718570156</c:v>
                </c:pt>
                <c:pt idx="2">
                  <c:v>2.7997999999999999E-2</c:v>
                </c:pt>
                <c:pt idx="3">
                  <c:v>6.9694571763756011E-5</c:v>
                </c:pt>
                <c:pt idx="4">
                  <c:v>3.7094395741324111</c:v>
                </c:pt>
                <c:pt idx="5">
                  <c:v>-1.5528729908001491</c:v>
                </c:pt>
                <c:pt idx="6">
                  <c:v>-1.5488587139216301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B043-7F41-9CF5-6A9DC9A4370B}"/>
            </c:ext>
          </c:extLst>
        </c:ser>
        <c:ser>
          <c:idx val="4"/>
          <c:order val="2"/>
          <c:tx>
            <c:strRef>
              <c:f>'Nodes-G. Density'!$B$24</c:f>
              <c:strCache>
                <c:ptCount val="1"/>
                <c:pt idx="0">
                  <c:v>665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'Nodes-G. Density'!$C$21:$I$21</c:f>
              <c:numCache>
                <c:formatCode>General</c:formatCode>
                <c:ptCount val="7"/>
                <c:pt idx="0">
                  <c:v>3294.9</c:v>
                </c:pt>
                <c:pt idx="1">
                  <c:v>4.3879886559156516</c:v>
                </c:pt>
                <c:pt idx="2">
                  <c:v>3.4486999999999997E-2</c:v>
                </c:pt>
                <c:pt idx="3">
                  <c:v>1.064273356698253E-4</c:v>
                </c:pt>
                <c:pt idx="4">
                  <c:v>3.5178422383208559</c:v>
                </c:pt>
                <c:pt idx="5">
                  <c:v>-1.4623445829626329</c:v>
                </c:pt>
                <c:pt idx="6">
                  <c:v>-1.4647258602954349</c:v>
                </c:pt>
              </c:numCache>
            </c:numRef>
          </c:cat>
          <c:val>
            <c:numRef>
              <c:f>'Nodes-G. Density'!$C$24:$I$24</c:f>
              <c:numCache>
                <c:formatCode>General</c:formatCode>
                <c:ptCount val="7"/>
                <c:pt idx="0">
                  <c:v>8165</c:v>
                </c:pt>
                <c:pt idx="1">
                  <c:v>0</c:v>
                </c:pt>
                <c:pt idx="2">
                  <c:v>2.2120000000000001E-2</c:v>
                </c:pt>
                <c:pt idx="3">
                  <c:v>0</c:v>
                </c:pt>
                <c:pt idx="4">
                  <c:v>3.9119561890726868</c:v>
                </c:pt>
                <c:pt idx="5">
                  <c:v>-1.655214877367339</c:v>
                </c:pt>
                <c:pt idx="6">
                  <c:v>-1.637786363408368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B043-7F41-9CF5-6A9DC9A4370B}"/>
            </c:ext>
          </c:extLst>
        </c:ser>
        <c:ser>
          <c:idx val="5"/>
          <c:order val="3"/>
          <c:tx>
            <c:strRef>
              <c:f>'Nodes-G. Density'!$B$25</c:f>
              <c:strCache>
                <c:ptCount val="1"/>
                <c:pt idx="0">
                  <c:v>65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'Nodes-G. Density'!$C$21:$I$21</c:f>
              <c:numCache>
                <c:formatCode>General</c:formatCode>
                <c:ptCount val="7"/>
                <c:pt idx="0">
                  <c:v>3294.9</c:v>
                </c:pt>
                <c:pt idx="1">
                  <c:v>4.3879886559156516</c:v>
                </c:pt>
                <c:pt idx="2">
                  <c:v>3.4486999999999997E-2</c:v>
                </c:pt>
                <c:pt idx="3">
                  <c:v>1.064273356698253E-4</c:v>
                </c:pt>
                <c:pt idx="4">
                  <c:v>3.5178422383208559</c:v>
                </c:pt>
                <c:pt idx="5">
                  <c:v>-1.4623445829626329</c:v>
                </c:pt>
                <c:pt idx="6">
                  <c:v>-1.4647258602954349</c:v>
                </c:pt>
              </c:numCache>
            </c:numRef>
          </c:cat>
          <c:val>
            <c:numRef>
              <c:f>'Nodes-G. Density'!$C$25:$I$25</c:f>
              <c:numCache>
                <c:formatCode>General</c:formatCode>
                <c:ptCount val="7"/>
                <c:pt idx="0">
                  <c:v>50.3</c:v>
                </c:pt>
                <c:pt idx="1">
                  <c:v>1.932471072084766</c:v>
                </c:pt>
                <c:pt idx="2">
                  <c:v>0.22636899999999999</c:v>
                </c:pt>
                <c:pt idx="3">
                  <c:v>9.6514480721231095E-3</c:v>
                </c:pt>
                <c:pt idx="4">
                  <c:v>1.7015679850559271</c:v>
                </c:pt>
                <c:pt idx="5">
                  <c:v>-0.64518304767258239</c:v>
                </c:pt>
                <c:pt idx="6">
                  <c:v>-0.63426802337529631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B043-7F41-9CF5-6A9DC9A4370B}"/>
            </c:ext>
          </c:extLst>
        </c:ser>
        <c:ser>
          <c:idx val="6"/>
          <c:order val="4"/>
          <c:tx>
            <c:strRef>
              <c:f>'Nodes-G. Density'!$B$26</c:f>
              <c:strCache>
                <c:ptCount val="1"/>
                <c:pt idx="0">
                  <c:v>130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'Nodes-G. Density'!$C$21:$I$21</c:f>
              <c:numCache>
                <c:formatCode>General</c:formatCode>
                <c:ptCount val="7"/>
                <c:pt idx="0">
                  <c:v>3294.9</c:v>
                </c:pt>
                <c:pt idx="1">
                  <c:v>4.3879886559156516</c:v>
                </c:pt>
                <c:pt idx="2">
                  <c:v>3.4486999999999997E-2</c:v>
                </c:pt>
                <c:pt idx="3">
                  <c:v>1.064273356698253E-4</c:v>
                </c:pt>
                <c:pt idx="4">
                  <c:v>3.5178422383208559</c:v>
                </c:pt>
                <c:pt idx="5">
                  <c:v>-1.4623445829626329</c:v>
                </c:pt>
                <c:pt idx="6">
                  <c:v>-1.4647258602954349</c:v>
                </c:pt>
              </c:numCache>
            </c:numRef>
          </c:cat>
          <c:val>
            <c:numRef>
              <c:f>'Nodes-G. Density'!$C$26:$I$26</c:f>
              <c:numCache>
                <c:formatCode>General</c:formatCode>
                <c:ptCount val="7"/>
                <c:pt idx="0">
                  <c:v>206.7</c:v>
                </c:pt>
                <c:pt idx="1">
                  <c:v>2.6459612829954851</c:v>
                </c:pt>
                <c:pt idx="2">
                  <c:v>0.125886</c:v>
                </c:pt>
                <c:pt idx="3">
                  <c:v>3.0218460877049621E-3</c:v>
                </c:pt>
                <c:pt idx="4">
                  <c:v>2.3153404766272878</c:v>
                </c:pt>
                <c:pt idx="5">
                  <c:v>-0.90002256584785312</c:v>
                </c:pt>
                <c:pt idx="6">
                  <c:v>-0.90375366549658631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6-B043-7F41-9CF5-6A9DC9A43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666128"/>
        <c:axId val="588660848"/>
        <c:extLst/>
      </c:radarChart>
      <c:catAx>
        <c:axId val="58866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660848"/>
        <c:crosses val="autoZero"/>
        <c:auto val="1"/>
        <c:lblAlgn val="ctr"/>
        <c:lblOffset val="100"/>
        <c:noMultiLvlLbl val="0"/>
      </c:catAx>
      <c:valAx>
        <c:axId val="58866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666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9</xdr:row>
      <xdr:rowOff>195383</xdr:rowOff>
    </xdr:from>
    <xdr:to>
      <xdr:col>19</xdr:col>
      <xdr:colOff>156308</xdr:colOff>
      <xdr:row>36</xdr:row>
      <xdr:rowOff>146538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EBACF25-5DC1-5043-AB21-04443838DF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0.74074</cdr:y>
    </cdr:from>
    <cdr:to>
      <cdr:x>0.26525</cdr:x>
      <cdr:y>0.97814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03ADDD6-FF63-6ACE-66E7-7D2680C6DDF5}"/>
            </a:ext>
          </a:extLst>
        </cdr:cNvPr>
        <cdr:cNvSpPr txBox="1"/>
      </cdr:nvSpPr>
      <cdr:spPr>
        <a:xfrm xmlns:a="http://schemas.openxmlformats.org/drawingml/2006/main">
          <a:off x="0" y="2662294"/>
          <a:ext cx="1563077" cy="8532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 b="0"/>
            <a:t>ND:</a:t>
          </a:r>
          <a:r>
            <a:rPr lang="en-US" sz="800"/>
            <a:t> Avg. Nodal Degree</a:t>
          </a:r>
        </a:p>
        <a:p xmlns:a="http://schemas.openxmlformats.org/drawingml/2006/main">
          <a:r>
            <a:rPr lang="en-US" sz="800"/>
            <a:t>CC:</a:t>
          </a:r>
          <a:r>
            <a:rPr lang="en-US" sz="800" baseline="0"/>
            <a:t> Avg. Closessness Centrality</a:t>
          </a:r>
          <a:endParaRPr lang="en-US" sz="800"/>
        </a:p>
        <a:p xmlns:a="http://schemas.openxmlformats.org/drawingml/2006/main">
          <a:r>
            <a:rPr lang="en-US" sz="800"/>
            <a:t>BC: Avg. Betweenness Centrality</a:t>
          </a:r>
        </a:p>
        <a:p xmlns:a="http://schemas.openxmlformats.org/drawingml/2006/main">
          <a:r>
            <a:rPr lang="en-US" sz="800"/>
            <a:t>EC: Avg. Eigenvector Centrality</a:t>
          </a:r>
        </a:p>
        <a:p xmlns:a="http://schemas.openxmlformats.org/drawingml/2006/main">
          <a:r>
            <a:rPr lang="en-US" sz="800"/>
            <a:t>GD: Global Density 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76</xdr:row>
      <xdr:rowOff>0</xdr:rowOff>
    </xdr:from>
    <xdr:to>
      <xdr:col>19</xdr:col>
      <xdr:colOff>647700</xdr:colOff>
      <xdr:row>94</xdr:row>
      <xdr:rowOff>177800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63F225E-C76C-E540-8C0D-85D67C4752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76</xdr:row>
      <xdr:rowOff>0</xdr:rowOff>
    </xdr:from>
    <xdr:to>
      <xdr:col>8</xdr:col>
      <xdr:colOff>25400</xdr:colOff>
      <xdr:row>94</xdr:row>
      <xdr:rowOff>165100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6564FE1-D744-E34A-9D50-AD290B1A1C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0.00069</cdr:x>
      <cdr:y>0.74074</cdr:y>
    </cdr:from>
    <cdr:to>
      <cdr:x>0.22454</cdr:x>
      <cdr:y>0.97814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93F6AFD-F668-ABA4-6557-64F2880D3E33}"/>
            </a:ext>
          </a:extLst>
        </cdr:cNvPr>
        <cdr:cNvSpPr txBox="1"/>
      </cdr:nvSpPr>
      <cdr:spPr>
        <a:xfrm xmlns:a="http://schemas.openxmlformats.org/drawingml/2006/main">
          <a:off x="3175" y="2032000"/>
          <a:ext cx="1023441" cy="6512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/>
            <a:t>ND: Nodal Degree</a:t>
          </a:r>
        </a:p>
        <a:p xmlns:a="http://schemas.openxmlformats.org/drawingml/2006/main">
          <a:r>
            <a:rPr lang="en-US" sz="800"/>
            <a:t>CC:</a:t>
          </a:r>
          <a:r>
            <a:rPr lang="en-US" sz="800" baseline="0"/>
            <a:t> </a:t>
          </a:r>
          <a:r>
            <a:rPr lang="en-US" sz="800"/>
            <a:t>Clustering Coefficient</a:t>
          </a:r>
        </a:p>
        <a:p xmlns:a="http://schemas.openxmlformats.org/drawingml/2006/main">
          <a:r>
            <a:rPr lang="en-US" sz="800"/>
            <a:t>BC: Betweenness Centrality</a:t>
          </a:r>
        </a:p>
        <a:p xmlns:a="http://schemas.openxmlformats.org/drawingml/2006/main">
          <a:r>
            <a:rPr lang="en-US" sz="800"/>
            <a:t>AC: Assortativity Coefficient</a:t>
          </a:r>
        </a:p>
        <a:p xmlns:a="http://schemas.openxmlformats.org/drawingml/2006/main">
          <a:r>
            <a:rPr lang="en-US" sz="800"/>
            <a:t>GD: Global Density 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</cdr:x>
      <cdr:y>0.74074</cdr:y>
    </cdr:from>
    <cdr:to>
      <cdr:x>0.22385</cdr:x>
      <cdr:y>0.97814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03ADDD6-FF63-6ACE-66E7-7D2680C6DDF5}"/>
            </a:ext>
          </a:extLst>
        </cdr:cNvPr>
        <cdr:cNvSpPr txBox="1"/>
      </cdr:nvSpPr>
      <cdr:spPr>
        <a:xfrm xmlns:a="http://schemas.openxmlformats.org/drawingml/2006/main">
          <a:off x="0" y="2032000"/>
          <a:ext cx="1023441" cy="6512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800"/>
            <a:t>ND: Nodal Degree</a:t>
          </a:r>
        </a:p>
        <a:p xmlns:a="http://schemas.openxmlformats.org/drawingml/2006/main">
          <a:r>
            <a:rPr lang="en-US" sz="800"/>
            <a:t>CC:</a:t>
          </a:r>
          <a:r>
            <a:rPr lang="en-US" sz="800" baseline="0"/>
            <a:t> </a:t>
          </a:r>
          <a:r>
            <a:rPr lang="en-US" sz="800"/>
            <a:t>Clustering Coefficient</a:t>
          </a:r>
        </a:p>
        <a:p xmlns:a="http://schemas.openxmlformats.org/drawingml/2006/main">
          <a:r>
            <a:rPr lang="en-US" sz="800"/>
            <a:t>BC: Betweenness Centrality</a:t>
          </a:r>
        </a:p>
        <a:p xmlns:a="http://schemas.openxmlformats.org/drawingml/2006/main">
          <a:r>
            <a:rPr lang="en-US" sz="800"/>
            <a:t>AC: Assortativity Coefficient</a:t>
          </a:r>
        </a:p>
        <a:p xmlns:a="http://schemas.openxmlformats.org/drawingml/2006/main">
          <a:r>
            <a:rPr lang="en-US" sz="800"/>
            <a:t>GD: Global Density 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C1606-6F01-4D2D-8971-65E27527CE3F}">
  <dimension ref="A2:T34"/>
  <sheetViews>
    <sheetView zoomScale="150" zoomScaleNormal="150" workbookViewId="0">
      <selection activeCell="I4" sqref="I3:I4"/>
    </sheetView>
  </sheetViews>
  <sheetFormatPr baseColWidth="10" defaultColWidth="8.83203125" defaultRowHeight="15" x14ac:dyDescent="0.2"/>
  <cols>
    <col min="2" max="2" width="13.1640625" customWidth="1"/>
    <col min="7" max="7" width="8.83203125" style="23"/>
    <col min="8" max="8" width="8.83203125" style="8"/>
  </cols>
  <sheetData>
    <row r="2" spans="1:20" s="21" customFormat="1" x14ac:dyDescent="0.2">
      <c r="A2" s="21" t="s">
        <v>25</v>
      </c>
      <c r="B2" s="21" t="s">
        <v>24</v>
      </c>
      <c r="C2" s="21" t="s">
        <v>18</v>
      </c>
      <c r="D2" s="21" t="s">
        <v>19</v>
      </c>
      <c r="E2" s="21" t="s">
        <v>20</v>
      </c>
      <c r="F2" s="21" t="s">
        <v>21</v>
      </c>
      <c r="G2" s="19" t="s">
        <v>23</v>
      </c>
      <c r="H2" s="24" t="s">
        <v>8</v>
      </c>
    </row>
    <row r="3" spans="1:20" x14ac:dyDescent="0.2">
      <c r="A3" t="s">
        <v>4</v>
      </c>
      <c r="B3" s="21" t="s">
        <v>9</v>
      </c>
      <c r="C3">
        <v>7785</v>
      </c>
      <c r="D3">
        <v>7763</v>
      </c>
      <c r="E3">
        <v>7787</v>
      </c>
      <c r="F3">
        <v>7773</v>
      </c>
      <c r="G3" s="23">
        <f>AVERAGE(C3:F3)</f>
        <v>7777</v>
      </c>
      <c r="H3" s="8">
        <f>STDEV(C3:F3)</f>
        <v>11.195237082497776</v>
      </c>
      <c r="O3" t="s">
        <v>12</v>
      </c>
    </row>
    <row r="4" spans="1:20" x14ac:dyDescent="0.2">
      <c r="A4" t="s">
        <v>4</v>
      </c>
      <c r="B4" s="21" t="s">
        <v>10</v>
      </c>
      <c r="C4">
        <v>13854</v>
      </c>
      <c r="D4">
        <v>13792</v>
      </c>
      <c r="E4">
        <v>13844</v>
      </c>
      <c r="F4">
        <v>13788</v>
      </c>
      <c r="G4" s="23">
        <f t="shared" ref="G4:G10" si="0">AVERAGE(C4:F4)</f>
        <v>13819.5</v>
      </c>
      <c r="H4" s="8">
        <f t="shared" ref="H4:H10" si="1">STDEV(C4:F4)</f>
        <v>34.346275877694026</v>
      </c>
      <c r="O4" t="s">
        <v>13</v>
      </c>
    </row>
    <row r="5" spans="1:20" x14ac:dyDescent="0.2">
      <c r="A5" t="s">
        <v>4</v>
      </c>
      <c r="B5" s="21" t="s">
        <v>0</v>
      </c>
      <c r="C5">
        <v>3.5591499999999998</v>
      </c>
      <c r="D5">
        <v>3.5532699999999999</v>
      </c>
      <c r="E5">
        <v>3.5556700000000001</v>
      </c>
      <c r="F5">
        <v>3.54766</v>
      </c>
      <c r="G5" s="23">
        <f t="shared" si="0"/>
        <v>3.5539375</v>
      </c>
      <c r="H5" s="8">
        <f t="shared" si="1"/>
        <v>4.8312964098675797E-3</v>
      </c>
      <c r="O5" t="s">
        <v>14</v>
      </c>
    </row>
    <row r="6" spans="1:20" x14ac:dyDescent="0.2">
      <c r="A6" t="s">
        <v>4</v>
      </c>
      <c r="B6" s="21" t="s">
        <v>22</v>
      </c>
      <c r="C6">
        <v>111</v>
      </c>
      <c r="D6">
        <v>111</v>
      </c>
      <c r="E6">
        <v>116</v>
      </c>
      <c r="F6">
        <v>116</v>
      </c>
      <c r="G6" s="23">
        <f t="shared" si="0"/>
        <v>113.5</v>
      </c>
      <c r="H6" s="8">
        <f t="shared" si="1"/>
        <v>2.8867513459481291</v>
      </c>
      <c r="I6" s="2"/>
      <c r="N6" s="1"/>
      <c r="O6" t="s">
        <v>15</v>
      </c>
      <c r="P6" s="2"/>
      <c r="Q6" s="2"/>
      <c r="R6" s="2"/>
      <c r="S6" s="2"/>
      <c r="T6" s="2"/>
    </row>
    <row r="7" spans="1:20" x14ac:dyDescent="0.2">
      <c r="A7" t="s">
        <v>4</v>
      </c>
      <c r="B7" s="21" t="s">
        <v>3</v>
      </c>
      <c r="C7">
        <v>4.6000000000000001E-4</v>
      </c>
      <c r="D7">
        <v>4.6000000000000001E-4</v>
      </c>
      <c r="E7">
        <v>4.6000000000000001E-4</v>
      </c>
      <c r="F7">
        <v>4.6000000000000001E-4</v>
      </c>
      <c r="G7" s="23">
        <f t="shared" si="0"/>
        <v>4.6000000000000001E-4</v>
      </c>
      <c r="H7" s="8">
        <f t="shared" si="1"/>
        <v>0</v>
      </c>
      <c r="O7" s="20" t="s">
        <v>16</v>
      </c>
    </row>
    <row r="8" spans="1:20" x14ac:dyDescent="0.2">
      <c r="A8" t="s">
        <v>4</v>
      </c>
      <c r="B8" s="21" t="s">
        <v>2</v>
      </c>
      <c r="C8">
        <v>5.1799999999999997E-3</v>
      </c>
      <c r="D8">
        <v>5.1999999999999998E-3</v>
      </c>
      <c r="E8">
        <v>5.1700000000000001E-3</v>
      </c>
      <c r="F8">
        <v>5.1999999999999998E-3</v>
      </c>
      <c r="G8" s="23">
        <f t="shared" si="0"/>
        <v>5.1875000000000003E-3</v>
      </c>
      <c r="H8" s="8">
        <f t="shared" si="1"/>
        <v>1.499999999999987E-5</v>
      </c>
      <c r="O8" s="20" t="s">
        <v>17</v>
      </c>
    </row>
    <row r="9" spans="1:20" x14ac:dyDescent="0.2">
      <c r="A9" t="s">
        <v>4</v>
      </c>
      <c r="B9" s="21" t="s">
        <v>11</v>
      </c>
      <c r="C9">
        <v>1.3500000000000001E-3</v>
      </c>
      <c r="D9">
        <v>1.3500000000000001E-3</v>
      </c>
      <c r="E9">
        <v>1.3500000000000001E-3</v>
      </c>
      <c r="F9">
        <v>1.3500000000000001E-3</v>
      </c>
      <c r="G9" s="23">
        <f t="shared" si="0"/>
        <v>1.3500000000000001E-3</v>
      </c>
      <c r="H9" s="8">
        <f t="shared" si="1"/>
        <v>0</v>
      </c>
    </row>
    <row r="10" spans="1:20" x14ac:dyDescent="0.2">
      <c r="A10" t="s">
        <v>4</v>
      </c>
      <c r="B10" s="21" t="s">
        <v>1</v>
      </c>
      <c r="C10">
        <v>2.4809999999999999E-2</v>
      </c>
      <c r="D10">
        <v>2.478E-2</v>
      </c>
      <c r="E10">
        <v>2.4840000000000001E-2</v>
      </c>
      <c r="F10">
        <v>2.479E-2</v>
      </c>
      <c r="G10" s="23">
        <f t="shared" si="0"/>
        <v>2.4805000000000001E-2</v>
      </c>
      <c r="H10" s="8">
        <f t="shared" si="1"/>
        <v>2.645751311064636E-5</v>
      </c>
    </row>
    <row r="11" spans="1:20" x14ac:dyDescent="0.2">
      <c r="A11" t="s">
        <v>5</v>
      </c>
      <c r="B11" s="21" t="s">
        <v>9</v>
      </c>
      <c r="C11">
        <v>7329</v>
      </c>
      <c r="D11">
        <v>7320</v>
      </c>
      <c r="E11">
        <v>7360</v>
      </c>
      <c r="F11">
        <v>7355</v>
      </c>
      <c r="G11" s="23">
        <f>AVERAGE(C11:F11)</f>
        <v>7341</v>
      </c>
      <c r="H11" s="8">
        <f>STDEV(C11:F11)</f>
        <v>19.510680835549195</v>
      </c>
    </row>
    <row r="12" spans="1:20" x14ac:dyDescent="0.2">
      <c r="A12" t="s">
        <v>5</v>
      </c>
      <c r="B12" s="21" t="s">
        <v>10</v>
      </c>
      <c r="C12">
        <v>12000</v>
      </c>
      <c r="D12">
        <v>12036</v>
      </c>
      <c r="E12">
        <v>12052</v>
      </c>
      <c r="F12">
        <v>12088</v>
      </c>
      <c r="G12" s="23">
        <f t="shared" ref="G12:G18" si="2">AVERAGE(C12:F12)</f>
        <v>12044</v>
      </c>
      <c r="H12" s="8">
        <f t="shared" ref="H12:H18" si="3">STDEV(C12:F12)</f>
        <v>36.514837167011073</v>
      </c>
    </row>
    <row r="13" spans="1:20" x14ac:dyDescent="0.2">
      <c r="A13" t="s">
        <v>5</v>
      </c>
      <c r="B13" s="21" t="s">
        <v>0</v>
      </c>
      <c r="C13">
        <v>3.2746599999999999</v>
      </c>
      <c r="D13">
        <v>3.2885200000000001</v>
      </c>
      <c r="E13">
        <v>3.2749999999999999</v>
      </c>
      <c r="F13">
        <v>3.2870200000000001</v>
      </c>
      <c r="G13" s="23">
        <f t="shared" si="2"/>
        <v>3.2812999999999999</v>
      </c>
      <c r="H13" s="8">
        <f t="shared" si="3"/>
        <v>7.4972528302039761E-3</v>
      </c>
    </row>
    <row r="14" spans="1:20" x14ac:dyDescent="0.2">
      <c r="A14" t="s">
        <v>5</v>
      </c>
      <c r="B14" s="21" t="s">
        <v>22</v>
      </c>
      <c r="C14">
        <v>116</v>
      </c>
      <c r="D14">
        <v>119</v>
      </c>
      <c r="E14">
        <v>115</v>
      </c>
      <c r="F14">
        <v>119</v>
      </c>
      <c r="G14" s="23">
        <f t="shared" si="2"/>
        <v>117.25</v>
      </c>
      <c r="H14" s="8">
        <f t="shared" si="3"/>
        <v>2.0615528128088303</v>
      </c>
    </row>
    <row r="15" spans="1:20" x14ac:dyDescent="0.2">
      <c r="A15" t="s">
        <v>5</v>
      </c>
      <c r="B15" s="21" t="s">
        <v>3</v>
      </c>
      <c r="C15">
        <v>4.4999999999999999E-4</v>
      </c>
      <c r="D15">
        <v>4.4999999999999999E-4</v>
      </c>
      <c r="E15">
        <v>4.4999999999999999E-4</v>
      </c>
      <c r="F15">
        <v>4.4999999999999999E-4</v>
      </c>
      <c r="G15" s="23">
        <f t="shared" si="2"/>
        <v>4.4999999999999999E-4</v>
      </c>
      <c r="H15" s="8">
        <f t="shared" si="3"/>
        <v>0</v>
      </c>
    </row>
    <row r="16" spans="1:20" x14ac:dyDescent="0.2">
      <c r="A16" t="s">
        <v>5</v>
      </c>
      <c r="B16" s="21" t="s">
        <v>2</v>
      </c>
      <c r="C16">
        <v>5.8900000000000003E-3</v>
      </c>
      <c r="D16">
        <v>5.8500000000000002E-3</v>
      </c>
      <c r="E16">
        <v>5.8900000000000003E-3</v>
      </c>
      <c r="F16">
        <v>5.8599999999999998E-3</v>
      </c>
      <c r="G16" s="23">
        <f t="shared" si="2"/>
        <v>5.8725000000000001E-3</v>
      </c>
      <c r="H16" s="8">
        <f t="shared" si="3"/>
        <v>2.0615528128088444E-5</v>
      </c>
    </row>
    <row r="17" spans="1:8" x14ac:dyDescent="0.2">
      <c r="A17" t="s">
        <v>5</v>
      </c>
      <c r="B17" s="21" t="s">
        <v>11</v>
      </c>
      <c r="C17">
        <v>8.0999999999999996E-4</v>
      </c>
      <c r="D17">
        <v>9.3000000000000005E-4</v>
      </c>
      <c r="E17">
        <v>8.0999999999999996E-4</v>
      </c>
      <c r="F17">
        <v>9.3000000000000005E-4</v>
      </c>
      <c r="G17" s="23">
        <f t="shared" si="2"/>
        <v>8.7000000000000011E-4</v>
      </c>
      <c r="H17" s="8">
        <f t="shared" si="3"/>
        <v>6.9282032302755148E-5</v>
      </c>
    </row>
    <row r="18" spans="1:8" x14ac:dyDescent="0.2">
      <c r="A18" t="s">
        <v>5</v>
      </c>
      <c r="B18" s="21" t="s">
        <v>1</v>
      </c>
      <c r="C18">
        <v>2.3220000000000001E-2</v>
      </c>
      <c r="D18">
        <v>2.3380000000000001E-2</v>
      </c>
      <c r="E18">
        <v>2.3120000000000002E-2</v>
      </c>
      <c r="F18">
        <v>2.3269999999999999E-2</v>
      </c>
      <c r="G18" s="23">
        <f t="shared" si="2"/>
        <v>2.3247500000000001E-2</v>
      </c>
      <c r="H18" s="8">
        <f t="shared" si="3"/>
        <v>1.0812801055539042E-4</v>
      </c>
    </row>
    <row r="19" spans="1:8" x14ac:dyDescent="0.2">
      <c r="A19" t="s">
        <v>6</v>
      </c>
      <c r="B19" s="21" t="s">
        <v>9</v>
      </c>
      <c r="C19">
        <v>7769</v>
      </c>
      <c r="D19">
        <v>7773</v>
      </c>
      <c r="E19">
        <v>7759</v>
      </c>
      <c r="F19">
        <v>7753</v>
      </c>
      <c r="G19" s="23">
        <f>AVERAGE(C19:F19)</f>
        <v>7763.5</v>
      </c>
      <c r="H19" s="8">
        <f>STDEV(C19:F19)</f>
        <v>9.1469484893414954</v>
      </c>
    </row>
    <row r="20" spans="1:8" x14ac:dyDescent="0.2">
      <c r="A20" t="s">
        <v>6</v>
      </c>
      <c r="B20" s="21" t="s">
        <v>10</v>
      </c>
      <c r="C20">
        <v>13781</v>
      </c>
      <c r="D20">
        <v>13789</v>
      </c>
      <c r="E20">
        <v>13734</v>
      </c>
      <c r="F20">
        <v>13718</v>
      </c>
      <c r="G20" s="23">
        <f t="shared" ref="G20:G26" si="4">AVERAGE(C20:F20)</f>
        <v>13755.5</v>
      </c>
      <c r="H20" s="8">
        <f t="shared" ref="H20:H26" si="5">STDEV(C20:F20)</f>
        <v>34.837719022155667</v>
      </c>
    </row>
    <row r="21" spans="1:8" x14ac:dyDescent="0.2">
      <c r="A21" t="s">
        <v>6</v>
      </c>
      <c r="B21" s="21" t="s">
        <v>0</v>
      </c>
      <c r="C21">
        <v>3.5476899999999998</v>
      </c>
      <c r="D21">
        <v>3.54792</v>
      </c>
      <c r="E21">
        <v>3.5401500000000001</v>
      </c>
      <c r="F21">
        <v>3.5387599999999999</v>
      </c>
      <c r="G21" s="23">
        <f t="shared" si="4"/>
        <v>3.5436299999999998</v>
      </c>
      <c r="H21" s="8">
        <f t="shared" si="5"/>
        <v>4.855066082626063E-3</v>
      </c>
    </row>
    <row r="22" spans="1:8" x14ac:dyDescent="0.2">
      <c r="A22" t="s">
        <v>6</v>
      </c>
      <c r="B22" s="21" t="s">
        <v>22</v>
      </c>
      <c r="C22">
        <v>114</v>
      </c>
      <c r="D22">
        <v>113</v>
      </c>
      <c r="E22">
        <v>115</v>
      </c>
      <c r="F22">
        <v>113</v>
      </c>
      <c r="G22" s="23">
        <f t="shared" si="4"/>
        <v>113.75</v>
      </c>
      <c r="H22" s="8">
        <f t="shared" si="5"/>
        <v>0.9574271077563381</v>
      </c>
    </row>
    <row r="23" spans="1:8" x14ac:dyDescent="0.2">
      <c r="A23" t="s">
        <v>6</v>
      </c>
      <c r="B23" s="21" t="s">
        <v>3</v>
      </c>
      <c r="C23">
        <v>4.6000000000000001E-4</v>
      </c>
      <c r="D23">
        <v>4.6000000000000001E-4</v>
      </c>
      <c r="E23">
        <v>4.6000000000000001E-4</v>
      </c>
      <c r="F23">
        <v>4.6000000000000001E-4</v>
      </c>
      <c r="G23" s="23">
        <f t="shared" si="4"/>
        <v>4.6000000000000001E-4</v>
      </c>
      <c r="H23" s="8">
        <f t="shared" si="5"/>
        <v>0</v>
      </c>
    </row>
    <row r="24" spans="1:8" x14ac:dyDescent="0.2">
      <c r="A24" t="s">
        <v>6</v>
      </c>
      <c r="B24" s="21" t="s">
        <v>2</v>
      </c>
      <c r="C24">
        <v>5.2900000000000004E-3</v>
      </c>
      <c r="D24">
        <v>5.2700000000000004E-3</v>
      </c>
      <c r="E24">
        <v>5.2900000000000004E-3</v>
      </c>
      <c r="F24">
        <v>5.28E-3</v>
      </c>
      <c r="G24" s="23">
        <f t="shared" si="4"/>
        <v>5.2824999999999999E-3</v>
      </c>
      <c r="H24" s="8">
        <f t="shared" si="5"/>
        <v>9.5742710775634437E-6</v>
      </c>
    </row>
    <row r="25" spans="1:8" x14ac:dyDescent="0.2">
      <c r="A25" t="s">
        <v>6</v>
      </c>
      <c r="B25" s="21" t="s">
        <v>11</v>
      </c>
      <c r="C25">
        <v>1.2700000000000001E-3</v>
      </c>
      <c r="D25">
        <v>1.2700000000000001E-3</v>
      </c>
      <c r="E25">
        <v>1.2700000000000001E-3</v>
      </c>
      <c r="F25">
        <v>1.2700000000000001E-3</v>
      </c>
      <c r="G25" s="23">
        <f t="shared" si="4"/>
        <v>1.2700000000000001E-3</v>
      </c>
      <c r="H25" s="8">
        <f t="shared" si="5"/>
        <v>0</v>
      </c>
    </row>
    <row r="26" spans="1:8" x14ac:dyDescent="0.2">
      <c r="A26" t="s">
        <v>6</v>
      </c>
      <c r="B26" s="21" t="s">
        <v>1</v>
      </c>
      <c r="C26">
        <v>2.4379999999999999E-2</v>
      </c>
      <c r="D26">
        <v>2.445E-2</v>
      </c>
      <c r="E26">
        <v>2.4410000000000001E-2</v>
      </c>
      <c r="F26">
        <v>2.4479999999999998E-2</v>
      </c>
      <c r="G26" s="23">
        <f t="shared" si="4"/>
        <v>2.443E-2</v>
      </c>
      <c r="H26" s="8">
        <f t="shared" si="5"/>
        <v>4.3969686527575916E-5</v>
      </c>
    </row>
    <row r="27" spans="1:8" x14ac:dyDescent="0.2">
      <c r="A27" t="s">
        <v>7</v>
      </c>
      <c r="B27" s="21" t="s">
        <v>9</v>
      </c>
      <c r="C27" s="22">
        <v>7433</v>
      </c>
      <c r="D27" s="22">
        <v>7441</v>
      </c>
      <c r="E27" s="22">
        <v>7465</v>
      </c>
      <c r="F27" s="22">
        <v>7471</v>
      </c>
      <c r="G27" s="23">
        <f>AVERAGE(C27:F27)</f>
        <v>7452.5</v>
      </c>
      <c r="H27" s="8">
        <f>STDEV(C27:F27)</f>
        <v>18.357559750685819</v>
      </c>
    </row>
    <row r="28" spans="1:8" x14ac:dyDescent="0.2">
      <c r="A28" t="s">
        <v>7</v>
      </c>
      <c r="B28" s="21" t="s">
        <v>10</v>
      </c>
      <c r="C28" s="22">
        <v>13923</v>
      </c>
      <c r="D28" s="22">
        <v>13917</v>
      </c>
      <c r="E28" s="22">
        <v>13973</v>
      </c>
      <c r="F28" s="22">
        <v>13957</v>
      </c>
      <c r="G28" s="23">
        <f t="shared" ref="G28:G34" si="6">AVERAGE(C28:F28)</f>
        <v>13942.5</v>
      </c>
      <c r="H28" s="8">
        <f t="shared" ref="H28:H34" si="7">STDEV(C28:F28)</f>
        <v>26.901053263146903</v>
      </c>
    </row>
    <row r="29" spans="1:8" x14ac:dyDescent="0.2">
      <c r="A29" t="s">
        <v>7</v>
      </c>
      <c r="B29" s="21" t="s">
        <v>0</v>
      </c>
      <c r="C29" s="22">
        <v>3.74627</v>
      </c>
      <c r="D29" s="22">
        <v>3.7406299999999999</v>
      </c>
      <c r="E29" s="22">
        <v>3.7435999999999998</v>
      </c>
      <c r="F29" s="22">
        <v>3.73631</v>
      </c>
      <c r="G29" s="23">
        <f t="shared" si="6"/>
        <v>3.7417024999999997</v>
      </c>
      <c r="H29" s="8">
        <f t="shared" si="7"/>
        <v>4.2697335982470538E-3</v>
      </c>
    </row>
    <row r="30" spans="1:8" x14ac:dyDescent="0.2">
      <c r="A30" t="s">
        <v>7</v>
      </c>
      <c r="B30" s="21" t="s">
        <v>22</v>
      </c>
      <c r="C30" s="22">
        <v>98</v>
      </c>
      <c r="D30" s="22">
        <v>99</v>
      </c>
      <c r="E30" s="22">
        <v>99</v>
      </c>
      <c r="F30" s="22">
        <v>99</v>
      </c>
      <c r="G30" s="23">
        <f t="shared" si="6"/>
        <v>98.75</v>
      </c>
      <c r="H30" s="8">
        <f t="shared" si="7"/>
        <v>0.5</v>
      </c>
    </row>
    <row r="31" spans="1:8" x14ac:dyDescent="0.2">
      <c r="A31" t="s">
        <v>7</v>
      </c>
      <c r="B31" s="21" t="s">
        <v>3</v>
      </c>
      <c r="C31" s="22">
        <v>5.0000000000000001E-4</v>
      </c>
      <c r="D31" s="22">
        <v>5.0000000000000001E-4</v>
      </c>
      <c r="E31" s="22">
        <v>5.0000000000000001E-4</v>
      </c>
      <c r="F31" s="22">
        <v>5.0000000000000001E-4</v>
      </c>
      <c r="G31" s="23">
        <f t="shared" si="6"/>
        <v>5.0000000000000001E-4</v>
      </c>
      <c r="H31" s="8">
        <f t="shared" si="7"/>
        <v>0</v>
      </c>
    </row>
    <row r="32" spans="1:8" x14ac:dyDescent="0.2">
      <c r="A32" t="s">
        <v>7</v>
      </c>
      <c r="B32" s="21" t="s">
        <v>2</v>
      </c>
      <c r="C32" s="22">
        <v>4.9399999999999999E-3</v>
      </c>
      <c r="D32" s="22">
        <v>4.9500000000000004E-3</v>
      </c>
      <c r="E32" s="22">
        <v>4.9100000000000003E-3</v>
      </c>
      <c r="F32" s="22">
        <v>4.9199999999999999E-3</v>
      </c>
      <c r="G32" s="23">
        <f t="shared" si="6"/>
        <v>4.9300000000000004E-3</v>
      </c>
      <c r="H32" s="8">
        <f t="shared" si="7"/>
        <v>1.8257418583505586E-5</v>
      </c>
    </row>
    <row r="33" spans="1:8" x14ac:dyDescent="0.2">
      <c r="A33" t="s">
        <v>7</v>
      </c>
      <c r="B33" s="21" t="s">
        <v>11</v>
      </c>
      <c r="C33" s="22">
        <v>9.1E-4</v>
      </c>
      <c r="D33" s="22">
        <v>8.9999999999999998E-4</v>
      </c>
      <c r="E33" s="22">
        <v>8.9999999999999998E-4</v>
      </c>
      <c r="F33" s="22">
        <v>8.9999999999999998E-4</v>
      </c>
      <c r="G33" s="23">
        <f t="shared" si="6"/>
        <v>9.0249999999999987E-4</v>
      </c>
      <c r="H33" s="8">
        <f t="shared" si="7"/>
        <v>5.0000000000000131E-6</v>
      </c>
    </row>
    <row r="34" spans="1:8" x14ac:dyDescent="0.2">
      <c r="A34" t="s">
        <v>7</v>
      </c>
      <c r="B34" s="21" t="s">
        <v>1</v>
      </c>
      <c r="C34" s="22">
        <v>2.7210000000000002E-2</v>
      </c>
      <c r="D34" s="22">
        <v>2.7150000000000001E-2</v>
      </c>
      <c r="E34" s="22">
        <v>2.726E-2</v>
      </c>
      <c r="F34" s="22">
        <v>2.7189999999999999E-2</v>
      </c>
      <c r="G34" s="23">
        <f t="shared" si="6"/>
        <v>2.7202499999999998E-2</v>
      </c>
      <c r="H34" s="8">
        <f t="shared" si="7"/>
        <v>4.5734742446707256E-5</v>
      </c>
    </row>
  </sheetData>
  <phoneticPr fontId="25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EDEAF-E711-4AB0-9613-3030E8997E92}">
  <dimension ref="A2:K46"/>
  <sheetViews>
    <sheetView zoomScale="150" zoomScaleNormal="150" workbookViewId="0">
      <selection activeCell="A2" sqref="A2"/>
    </sheetView>
  </sheetViews>
  <sheetFormatPr baseColWidth="10" defaultColWidth="8.83203125" defaultRowHeight="15" x14ac:dyDescent="0.2"/>
  <cols>
    <col min="2" max="2" width="15.83203125" style="21" customWidth="1"/>
    <col min="3" max="3" width="12.33203125" customWidth="1"/>
    <col min="4" max="5" width="13" customWidth="1"/>
    <col min="6" max="6" width="14.1640625" customWidth="1"/>
    <col min="7" max="7" width="13.5" customWidth="1"/>
    <col min="8" max="8" width="10.83203125" customWidth="1"/>
    <col min="9" max="9" width="13" customWidth="1"/>
  </cols>
  <sheetData>
    <row r="2" spans="1:11" x14ac:dyDescent="0.2">
      <c r="A2" s="21" t="s">
        <v>25</v>
      </c>
      <c r="B2" s="26" t="s">
        <v>26</v>
      </c>
      <c r="C2" s="25" t="s">
        <v>27</v>
      </c>
      <c r="D2" s="25" t="s">
        <v>28</v>
      </c>
      <c r="E2" s="25" t="s">
        <v>29</v>
      </c>
      <c r="F2" s="25" t="s">
        <v>30</v>
      </c>
      <c r="G2" s="25" t="s">
        <v>31</v>
      </c>
      <c r="H2" s="25" t="s">
        <v>32</v>
      </c>
      <c r="I2" s="25" t="s">
        <v>33</v>
      </c>
      <c r="J2" s="1"/>
      <c r="K2" s="1"/>
    </row>
    <row r="3" spans="1:11" x14ac:dyDescent="0.2">
      <c r="A3" t="s">
        <v>4</v>
      </c>
      <c r="B3" s="21">
        <v>65</v>
      </c>
      <c r="C3">
        <v>54.1</v>
      </c>
      <c r="D3">
        <v>2.1105554824368968</v>
      </c>
      <c r="E3">
        <v>0.21757000000000001</v>
      </c>
      <c r="F3">
        <v>4.4148104275394569E-3</v>
      </c>
      <c r="G3">
        <v>1.733197265106569</v>
      </c>
      <c r="H3">
        <v>-0.66240098826001137</v>
      </c>
      <c r="I3">
        <v>-0.6483143837514157</v>
      </c>
    </row>
    <row r="4" spans="1:11" x14ac:dyDescent="0.2">
      <c r="A4" t="s">
        <v>4</v>
      </c>
      <c r="B4" s="21">
        <v>131</v>
      </c>
      <c r="C4">
        <v>216.5</v>
      </c>
      <c r="D4">
        <v>2.486630920207769</v>
      </c>
      <c r="E4">
        <v>0.122269</v>
      </c>
      <c r="F4">
        <v>1.696034885647501E-3</v>
      </c>
      <c r="G4">
        <v>2.3354579006893839</v>
      </c>
      <c r="H4">
        <v>-0.91268363973813083</v>
      </c>
      <c r="I4">
        <v>-0.9100379661162683</v>
      </c>
    </row>
    <row r="5" spans="1:11" x14ac:dyDescent="0.2">
      <c r="A5" t="s">
        <v>4</v>
      </c>
      <c r="B5" s="21">
        <v>196</v>
      </c>
      <c r="C5">
        <v>475.2</v>
      </c>
      <c r="D5">
        <v>4.6804558182581601</v>
      </c>
      <c r="E5">
        <v>8.8970999999999995E-2</v>
      </c>
      <c r="F5">
        <v>1.258028837330669E-3</v>
      </c>
      <c r="G5">
        <v>2.6768764319731368</v>
      </c>
      <c r="H5">
        <v>-1.050751528100486</v>
      </c>
      <c r="I5">
        <v>-1.0584077512456891</v>
      </c>
    </row>
    <row r="6" spans="1:11" x14ac:dyDescent="0.2">
      <c r="A6" t="s">
        <v>4</v>
      </c>
      <c r="B6" s="21">
        <v>262</v>
      </c>
      <c r="C6">
        <v>867.1</v>
      </c>
      <c r="D6">
        <v>5.5486735151545714</v>
      </c>
      <c r="E6">
        <v>6.9492999999999999E-2</v>
      </c>
      <c r="F6">
        <v>7.1478831365190431E-4</v>
      </c>
      <c r="G6">
        <v>2.9380691862233861</v>
      </c>
      <c r="H6">
        <v>-1.1580589395031271</v>
      </c>
      <c r="I6">
        <v>-1.1719139299517971</v>
      </c>
    </row>
    <row r="7" spans="1:11" x14ac:dyDescent="0.2">
      <c r="A7" t="s">
        <v>4</v>
      </c>
      <c r="B7" s="21">
        <v>328</v>
      </c>
      <c r="C7">
        <v>1347.8</v>
      </c>
      <c r="D7">
        <v>9.7431457388714495</v>
      </c>
      <c r="E7">
        <v>5.6467999999999997E-2</v>
      </c>
      <c r="F7">
        <v>3.919688196216065E-4</v>
      </c>
      <c r="G7">
        <v>3.129625452035683</v>
      </c>
      <c r="H7">
        <v>-1.2481975939586329</v>
      </c>
      <c r="I7">
        <v>-1.255158274925984</v>
      </c>
    </row>
    <row r="8" spans="1:11" x14ac:dyDescent="0.2">
      <c r="A8" t="s">
        <v>4</v>
      </c>
      <c r="B8" s="21">
        <v>393</v>
      </c>
      <c r="C8">
        <v>1958</v>
      </c>
      <c r="D8">
        <v>6.7214416443035319</v>
      </c>
      <c r="E8">
        <v>4.8088000000000013E-2</v>
      </c>
      <c r="F8">
        <v>1.7630655121123509E-4</v>
      </c>
      <c r="G8">
        <v>3.291812687467119</v>
      </c>
      <c r="H8">
        <v>-1.31796328503944</v>
      </c>
      <c r="I8">
        <v>-1.3256397604540711</v>
      </c>
    </row>
    <row r="9" spans="1:11" x14ac:dyDescent="0.2">
      <c r="A9" t="s">
        <v>4</v>
      </c>
      <c r="B9" s="21">
        <v>459</v>
      </c>
      <c r="C9">
        <v>2654.7</v>
      </c>
      <c r="D9">
        <v>7.4893257373411126</v>
      </c>
      <c r="E9">
        <v>4.1514000000000002E-2</v>
      </c>
      <c r="F9">
        <v>1.0577964517492631E-4</v>
      </c>
      <c r="G9">
        <v>3.4240154498219888</v>
      </c>
      <c r="H9">
        <v>-1.3818054190128619</v>
      </c>
      <c r="I9">
        <v>-1.383090934443822</v>
      </c>
    </row>
    <row r="10" spans="1:11" x14ac:dyDescent="0.2">
      <c r="A10" t="s">
        <v>4</v>
      </c>
      <c r="B10" s="21">
        <v>524</v>
      </c>
      <c r="C10">
        <v>3471.9</v>
      </c>
      <c r="D10">
        <v>7.8760537213900612</v>
      </c>
      <c r="E10">
        <v>3.7012999999999997E-2</v>
      </c>
      <c r="F10">
        <v>7.2817122528518924E-5</v>
      </c>
      <c r="G10">
        <v>3.5405672078426962</v>
      </c>
      <c r="H10">
        <v>-1.43164571277997</v>
      </c>
      <c r="I10">
        <v>-1.4337406728425159</v>
      </c>
    </row>
    <row r="11" spans="1:11" x14ac:dyDescent="0.2">
      <c r="A11" t="s">
        <v>4</v>
      </c>
      <c r="B11" s="21">
        <v>590</v>
      </c>
      <c r="C11">
        <v>4413.5</v>
      </c>
      <c r="D11">
        <v>4.8125992053266922</v>
      </c>
      <c r="E11">
        <v>3.3245999999999998E-2</v>
      </c>
      <c r="F11">
        <v>4.7215816559001928E-5</v>
      </c>
      <c r="G11">
        <v>3.6447831309233569</v>
      </c>
      <c r="H11">
        <v>-1.4782605994564519</v>
      </c>
      <c r="I11">
        <v>-1.4790296442887989</v>
      </c>
    </row>
    <row r="12" spans="1:11" x14ac:dyDescent="0.2">
      <c r="A12" t="s">
        <v>4</v>
      </c>
      <c r="B12" s="21">
        <v>656</v>
      </c>
      <c r="C12">
        <v>5462.5</v>
      </c>
      <c r="D12">
        <v>5.2983225857078793</v>
      </c>
      <c r="E12">
        <v>3.0091E-2</v>
      </c>
      <c r="F12">
        <v>1.7285189549952141E-5</v>
      </c>
      <c r="G12">
        <v>3.7373914499784782</v>
      </c>
      <c r="H12">
        <v>-1.521563379316567</v>
      </c>
      <c r="I12">
        <v>-1.5192743150972079</v>
      </c>
    </row>
    <row r="13" spans="1:11" x14ac:dyDescent="0.2">
      <c r="A13" t="s">
        <v>4</v>
      </c>
      <c r="B13" s="21">
        <v>666</v>
      </c>
      <c r="C13">
        <v>8615</v>
      </c>
      <c r="D13">
        <v>0</v>
      </c>
      <c r="E13">
        <v>2.3630000000000009E-2</v>
      </c>
      <c r="F13">
        <v>1.1564823173178709E-18</v>
      </c>
      <c r="G13">
        <v>3.9352552817840469</v>
      </c>
      <c r="H13">
        <v>-1.6265362783676309</v>
      </c>
      <c r="I13">
        <v>-1.6052597304157381</v>
      </c>
    </row>
    <row r="14" spans="1:11" x14ac:dyDescent="0.2">
      <c r="A14" t="s">
        <v>5</v>
      </c>
      <c r="B14" s="21">
        <v>65</v>
      </c>
      <c r="C14">
        <v>47.8</v>
      </c>
      <c r="D14">
        <v>1.481740718059525</v>
      </c>
      <c r="E14">
        <v>0.20963699999999999</v>
      </c>
      <c r="F14">
        <v>8.4001738143392648E-3</v>
      </c>
      <c r="G14">
        <v>1.679427896612119</v>
      </c>
      <c r="H14">
        <v>-0.67853206387484444</v>
      </c>
      <c r="I14">
        <v>-0.65745448535624873</v>
      </c>
    </row>
    <row r="15" spans="1:11" x14ac:dyDescent="0.2">
      <c r="A15" t="s">
        <v>5</v>
      </c>
      <c r="B15" s="21">
        <v>130</v>
      </c>
      <c r="C15">
        <v>201.9</v>
      </c>
      <c r="D15">
        <v>3.813572253587616</v>
      </c>
      <c r="E15">
        <v>0.12109300000000001</v>
      </c>
      <c r="F15">
        <v>3.5074850280824039E-3</v>
      </c>
      <c r="G15">
        <v>2.3051363189436391</v>
      </c>
      <c r="H15">
        <v>-0.91688096130979457</v>
      </c>
      <c r="I15">
        <v>-0.93221109867613228</v>
      </c>
    </row>
    <row r="16" spans="1:11" x14ac:dyDescent="0.2">
      <c r="A16" t="s">
        <v>5</v>
      </c>
      <c r="B16" s="21">
        <v>196</v>
      </c>
      <c r="C16">
        <v>453</v>
      </c>
      <c r="D16">
        <v>4.7539457296018854</v>
      </c>
      <c r="E16">
        <v>8.2914000000000015E-2</v>
      </c>
      <c r="F16">
        <v>1.122124176135005E-3</v>
      </c>
      <c r="G16">
        <v>2.6560982020128319</v>
      </c>
      <c r="H16">
        <v>-1.0813721327862229</v>
      </c>
      <c r="I16">
        <v>-1.086322974039972</v>
      </c>
    </row>
    <row r="17" spans="1:9" x14ac:dyDescent="0.2">
      <c r="A17" t="s">
        <v>5</v>
      </c>
      <c r="B17" s="21">
        <v>262</v>
      </c>
      <c r="C17">
        <v>828.6</v>
      </c>
      <c r="D17">
        <v>7.001904502823975</v>
      </c>
      <c r="E17">
        <v>6.3450999999999994E-2</v>
      </c>
      <c r="F17">
        <v>5.8089863334511436E-4</v>
      </c>
      <c r="G17">
        <v>2.9183449289622749</v>
      </c>
      <c r="H17">
        <v>-1.1975615289505279</v>
      </c>
      <c r="I17">
        <v>-1.201478883692531</v>
      </c>
    </row>
    <row r="18" spans="1:9" x14ac:dyDescent="0.2">
      <c r="A18" t="s">
        <v>5</v>
      </c>
      <c r="B18" s="21">
        <v>327</v>
      </c>
      <c r="C18">
        <v>1287.8</v>
      </c>
      <c r="D18">
        <v>4.2551929059287863</v>
      </c>
      <c r="E18">
        <v>5.297799999999999E-2</v>
      </c>
      <c r="F18">
        <v>4.0885694319651712E-4</v>
      </c>
      <c r="G18">
        <v>3.109848420756105</v>
      </c>
      <c r="H18">
        <v>-1.2759044410059239</v>
      </c>
      <c r="I18">
        <v>-1.285570529203939</v>
      </c>
    </row>
    <row r="19" spans="1:9" x14ac:dyDescent="0.2">
      <c r="A19" t="s">
        <v>5</v>
      </c>
      <c r="B19" s="21">
        <v>393</v>
      </c>
      <c r="C19">
        <v>1847</v>
      </c>
      <c r="D19">
        <v>6.2307481270086829</v>
      </c>
      <c r="E19">
        <v>4.4794E-2</v>
      </c>
      <c r="F19">
        <v>2.9242358925975057E-4</v>
      </c>
      <c r="G19">
        <v>3.2664668954402409</v>
      </c>
      <c r="H19">
        <v>-1.3487801543366851</v>
      </c>
      <c r="I19">
        <v>-1.3543437151668081</v>
      </c>
    </row>
    <row r="20" spans="1:9" x14ac:dyDescent="0.2">
      <c r="A20" t="s">
        <v>5</v>
      </c>
      <c r="B20" s="21">
        <v>458</v>
      </c>
      <c r="C20">
        <v>2522.6999999999998</v>
      </c>
      <c r="D20">
        <v>6.4412731660751668</v>
      </c>
      <c r="E20">
        <v>3.8827E-2</v>
      </c>
      <c r="F20">
        <v>1.6180269191552729E-4</v>
      </c>
      <c r="G20">
        <v>3.401865607199611</v>
      </c>
      <c r="H20">
        <v>-1.4108661642769911</v>
      </c>
      <c r="I20">
        <v>-1.413799030395358</v>
      </c>
    </row>
    <row r="21" spans="1:9" x14ac:dyDescent="0.2">
      <c r="A21" t="s">
        <v>5</v>
      </c>
      <c r="B21" s="21">
        <v>524</v>
      </c>
      <c r="C21">
        <v>3294.9</v>
      </c>
      <c r="D21">
        <v>4.3879886559156516</v>
      </c>
      <c r="E21">
        <v>3.4486999999999997E-2</v>
      </c>
      <c r="F21">
        <v>1.064273356698253E-4</v>
      </c>
      <c r="G21">
        <v>3.5178422383208559</v>
      </c>
      <c r="H21">
        <v>-1.4623445829626329</v>
      </c>
      <c r="I21">
        <v>-1.4647258602954349</v>
      </c>
    </row>
    <row r="22" spans="1:9" x14ac:dyDescent="0.2">
      <c r="A22" t="s">
        <v>5</v>
      </c>
      <c r="B22" s="21">
        <v>589</v>
      </c>
      <c r="C22">
        <v>4152.6000000000004</v>
      </c>
      <c r="D22">
        <v>5.2877216265609137</v>
      </c>
      <c r="E22">
        <v>3.0827E-2</v>
      </c>
      <c r="F22">
        <v>7.7374270773803059E-5</v>
      </c>
      <c r="G22">
        <v>3.6183200996244</v>
      </c>
      <c r="H22">
        <v>-1.511068737577747</v>
      </c>
      <c r="I22">
        <v>-1.508846981092431</v>
      </c>
    </row>
    <row r="23" spans="1:9" x14ac:dyDescent="0.2">
      <c r="A23" t="s">
        <v>5</v>
      </c>
      <c r="B23" s="21">
        <v>655</v>
      </c>
      <c r="C23">
        <v>5122</v>
      </c>
      <c r="D23">
        <v>3.245509718570156</v>
      </c>
      <c r="E23">
        <v>2.7997999999999999E-2</v>
      </c>
      <c r="F23">
        <v>6.9694571763756011E-5</v>
      </c>
      <c r="G23">
        <v>3.7094395741324111</v>
      </c>
      <c r="H23">
        <v>-1.5528729908001491</v>
      </c>
      <c r="I23">
        <v>-1.5488587139216301</v>
      </c>
    </row>
    <row r="24" spans="1:9" x14ac:dyDescent="0.2">
      <c r="A24" t="s">
        <v>5</v>
      </c>
      <c r="B24" s="21">
        <v>665</v>
      </c>
      <c r="C24">
        <v>8165</v>
      </c>
      <c r="D24">
        <v>0</v>
      </c>
      <c r="E24">
        <v>2.2120000000000001E-2</v>
      </c>
      <c r="F24">
        <v>0</v>
      </c>
      <c r="G24">
        <v>3.9119561890726868</v>
      </c>
      <c r="H24">
        <v>-1.655214877367339</v>
      </c>
      <c r="I24">
        <v>-1.637786363408368</v>
      </c>
    </row>
    <row r="25" spans="1:9" x14ac:dyDescent="0.2">
      <c r="A25" t="s">
        <v>6</v>
      </c>
      <c r="B25" s="21">
        <v>65</v>
      </c>
      <c r="C25">
        <v>50.3</v>
      </c>
      <c r="D25">
        <v>1.932471072084766</v>
      </c>
      <c r="E25">
        <v>0.22636899999999999</v>
      </c>
      <c r="F25">
        <v>9.6514480721231095E-3</v>
      </c>
      <c r="G25">
        <v>1.7015679850559271</v>
      </c>
      <c r="H25">
        <v>-0.64518304767258239</v>
      </c>
      <c r="I25">
        <v>-0.63426802337529631</v>
      </c>
    </row>
    <row r="26" spans="1:9" x14ac:dyDescent="0.2">
      <c r="A26" t="s">
        <v>6</v>
      </c>
      <c r="B26" s="21">
        <v>130</v>
      </c>
      <c r="C26">
        <v>206.7</v>
      </c>
      <c r="D26">
        <v>2.6459612829954851</v>
      </c>
      <c r="E26">
        <v>0.125886</v>
      </c>
      <c r="F26">
        <v>3.0218460877049621E-3</v>
      </c>
      <c r="G26">
        <v>2.3153404766272878</v>
      </c>
      <c r="H26">
        <v>-0.90002256584785312</v>
      </c>
      <c r="I26">
        <v>-0.90375366549658631</v>
      </c>
    </row>
    <row r="27" spans="1:9" x14ac:dyDescent="0.2">
      <c r="A27" t="s">
        <v>6</v>
      </c>
      <c r="B27" s="21">
        <v>196</v>
      </c>
      <c r="C27">
        <v>482.2</v>
      </c>
      <c r="D27">
        <v>4.5504578524217392</v>
      </c>
      <c r="E27">
        <v>8.7340000000000001E-2</v>
      </c>
      <c r="F27">
        <v>1.83016331997387E-3</v>
      </c>
      <c r="G27">
        <v>2.6832272060414351</v>
      </c>
      <c r="H27">
        <v>-1.0587868124146791</v>
      </c>
      <c r="I27">
        <v>-1.06527962644387</v>
      </c>
    </row>
    <row r="28" spans="1:9" x14ac:dyDescent="0.2">
      <c r="A28" t="s">
        <v>6</v>
      </c>
      <c r="B28" s="21">
        <v>262</v>
      </c>
      <c r="C28">
        <v>861.6</v>
      </c>
      <c r="D28">
        <v>7.7189521453512224</v>
      </c>
      <c r="E28">
        <v>6.6927E-2</v>
      </c>
      <c r="F28">
        <v>7.3840977783341984E-4</v>
      </c>
      <c r="G28">
        <v>2.9353056902899248</v>
      </c>
      <c r="H28">
        <v>-1.174398641792348</v>
      </c>
      <c r="I28">
        <v>-1.1759583113402059</v>
      </c>
    </row>
    <row r="29" spans="1:9" x14ac:dyDescent="0.2">
      <c r="A29" t="s">
        <v>6</v>
      </c>
      <c r="B29" s="21">
        <v>327</v>
      </c>
      <c r="C29">
        <v>1352.6</v>
      </c>
      <c r="D29">
        <v>6.8737827205177844</v>
      </c>
      <c r="E29">
        <v>5.5237000000000001E-2</v>
      </c>
      <c r="F29">
        <v>4.2723672855013559E-4</v>
      </c>
      <c r="G29">
        <v>3.1311693830893241</v>
      </c>
      <c r="H29">
        <v>-1.2577699166036489</v>
      </c>
      <c r="I29">
        <v>-1.26195508334796</v>
      </c>
    </row>
    <row r="30" spans="1:9" x14ac:dyDescent="0.2">
      <c r="A30" t="s">
        <v>6</v>
      </c>
      <c r="B30" s="21">
        <v>393</v>
      </c>
      <c r="C30">
        <v>1946</v>
      </c>
      <c r="D30">
        <v>11.99536947696439</v>
      </c>
      <c r="E30">
        <v>4.6784000000000013E-2</v>
      </c>
      <c r="F30">
        <v>2.1572204337990121E-4</v>
      </c>
      <c r="G30">
        <v>3.2891428359323331</v>
      </c>
      <c r="H30">
        <v>-1.329902649058252</v>
      </c>
      <c r="I30">
        <v>-1.3313156004159781</v>
      </c>
    </row>
    <row r="31" spans="1:9" x14ac:dyDescent="0.2">
      <c r="A31" t="s">
        <v>6</v>
      </c>
      <c r="B31" s="21">
        <v>458</v>
      </c>
      <c r="C31">
        <v>2656.6</v>
      </c>
      <c r="D31">
        <v>6.4069406809247793</v>
      </c>
      <c r="E31">
        <v>4.0791000000000001E-2</v>
      </c>
      <c r="F31">
        <v>1.67573864310638E-4</v>
      </c>
      <c r="G31">
        <v>3.4243261683092951</v>
      </c>
      <c r="H31">
        <v>-1.38943564773124</v>
      </c>
      <c r="I31">
        <v>-1.390669787235975</v>
      </c>
    </row>
    <row r="32" spans="1:9" x14ac:dyDescent="0.2">
      <c r="A32" t="s">
        <v>6</v>
      </c>
      <c r="B32" s="21">
        <v>524</v>
      </c>
      <c r="C32">
        <v>3494.5</v>
      </c>
      <c r="D32">
        <v>5.2667721508423817</v>
      </c>
      <c r="E32">
        <v>3.6569999999999998E-2</v>
      </c>
      <c r="F32">
        <v>8.2273257434532421E-5</v>
      </c>
      <c r="G32">
        <v>3.5433850448098432</v>
      </c>
      <c r="H32">
        <v>-1.4368750396619561</v>
      </c>
      <c r="I32">
        <v>-1.4429442997379081</v>
      </c>
    </row>
    <row r="33" spans="1:9" x14ac:dyDescent="0.2">
      <c r="A33" t="s">
        <v>6</v>
      </c>
      <c r="B33" s="21">
        <v>589</v>
      </c>
      <c r="C33">
        <v>4403.3</v>
      </c>
      <c r="D33">
        <v>3.2285187522040708</v>
      </c>
      <c r="E33">
        <v>3.2891999999999998E-2</v>
      </c>
      <c r="F33">
        <v>5.9363288318623168E-5</v>
      </c>
      <c r="G33">
        <v>3.6437782752633301</v>
      </c>
      <c r="H33">
        <v>-1.482909718412877</v>
      </c>
      <c r="I33">
        <v>-1.487023391819934</v>
      </c>
    </row>
    <row r="34" spans="1:9" x14ac:dyDescent="0.2">
      <c r="A34" t="s">
        <v>6</v>
      </c>
      <c r="B34" s="21">
        <v>655</v>
      </c>
      <c r="C34">
        <v>5438.6</v>
      </c>
      <c r="D34">
        <v>5.8938762947467591</v>
      </c>
      <c r="E34">
        <v>2.9750999999999989E-2</v>
      </c>
      <c r="F34">
        <v>5.8849148016111702E-5</v>
      </c>
      <c r="G34">
        <v>3.7354871183516791</v>
      </c>
      <c r="H34">
        <v>-1.526498432046927</v>
      </c>
      <c r="I34">
        <v>-1.527289478696183</v>
      </c>
    </row>
    <row r="35" spans="1:9" x14ac:dyDescent="0.2">
      <c r="A35" t="s">
        <v>6</v>
      </c>
      <c r="B35" s="21">
        <v>665</v>
      </c>
      <c r="C35">
        <v>8619</v>
      </c>
      <c r="D35">
        <v>0</v>
      </c>
      <c r="E35">
        <v>2.324E-2</v>
      </c>
      <c r="F35">
        <v>1.1564823173178709E-18</v>
      </c>
      <c r="G35">
        <v>3.9354568807116102</v>
      </c>
      <c r="H35">
        <v>-1.6337638762817071</v>
      </c>
      <c r="I35">
        <v>-1.6150890796141759</v>
      </c>
    </row>
    <row r="36" spans="1:9" x14ac:dyDescent="0.2">
      <c r="A36" t="s">
        <v>7</v>
      </c>
      <c r="B36">
        <v>65</v>
      </c>
      <c r="C36">
        <v>52.1</v>
      </c>
      <c r="D36">
        <v>1.303414319734477</v>
      </c>
      <c r="E36">
        <v>0.240152</v>
      </c>
      <c r="F36">
        <v>8.7450770659205108E-3</v>
      </c>
      <c r="G36">
        <v>1.716837723299524</v>
      </c>
      <c r="H36">
        <v>-0.61951379217993485</v>
      </c>
      <c r="I36">
        <v>-0.60123305459169774</v>
      </c>
    </row>
    <row r="37" spans="1:9" x14ac:dyDescent="0.2">
      <c r="A37" t="s">
        <v>7</v>
      </c>
      <c r="B37">
        <v>130</v>
      </c>
      <c r="C37">
        <v>209.8</v>
      </c>
      <c r="D37">
        <v>2.6364959911046908</v>
      </c>
      <c r="E37">
        <v>0.13777800000000001</v>
      </c>
      <c r="F37">
        <v>3.3789050823536831E-3</v>
      </c>
      <c r="G37">
        <v>2.3218054838575388</v>
      </c>
      <c r="H37">
        <v>-0.8608201238026838</v>
      </c>
      <c r="I37">
        <v>-0.86610594476926028</v>
      </c>
    </row>
    <row r="38" spans="1:9" x14ac:dyDescent="0.2">
      <c r="A38" t="s">
        <v>7</v>
      </c>
      <c r="B38">
        <v>196</v>
      </c>
      <c r="C38">
        <v>468.5</v>
      </c>
      <c r="D38">
        <v>5.497979426823802</v>
      </c>
      <c r="E38">
        <v>9.8486999999999991E-2</v>
      </c>
      <c r="F38">
        <v>1.65567646463781E-3</v>
      </c>
      <c r="G38">
        <v>2.6707095952237969</v>
      </c>
      <c r="H38">
        <v>-1.00662109133858</v>
      </c>
      <c r="I38">
        <v>-1.018866548552795</v>
      </c>
    </row>
    <row r="39" spans="1:9" x14ac:dyDescent="0.2">
      <c r="A39" t="s">
        <v>7</v>
      </c>
      <c r="B39">
        <v>262</v>
      </c>
      <c r="C39">
        <v>827.9</v>
      </c>
      <c r="D39">
        <v>7.2853734747551986</v>
      </c>
      <c r="E39">
        <v>7.5895999999999991E-2</v>
      </c>
      <c r="F39">
        <v>1.2227766217370469E-3</v>
      </c>
      <c r="G39">
        <v>2.9179778825929081</v>
      </c>
      <c r="H39">
        <v>-1.119781112427374</v>
      </c>
      <c r="I39">
        <v>-1.1271279637797831</v>
      </c>
    </row>
    <row r="40" spans="1:9" x14ac:dyDescent="0.2">
      <c r="A40" t="s">
        <v>7</v>
      </c>
      <c r="B40">
        <v>327</v>
      </c>
      <c r="C40">
        <v>1281.5999999999999</v>
      </c>
      <c r="D40">
        <v>8.6976369715508852</v>
      </c>
      <c r="E40">
        <v>6.2158999999999999E-2</v>
      </c>
      <c r="F40">
        <v>9.4199368952828475E-4</v>
      </c>
      <c r="G40">
        <v>3.107752498740163</v>
      </c>
      <c r="H40">
        <v>-1.2064959809828071</v>
      </c>
      <c r="I40">
        <v>-1.210216938661512</v>
      </c>
    </row>
    <row r="41" spans="1:9" x14ac:dyDescent="0.2">
      <c r="A41" t="s">
        <v>7</v>
      </c>
      <c r="B41">
        <v>393</v>
      </c>
      <c r="C41">
        <v>1852.8</v>
      </c>
      <c r="D41">
        <v>6.5959583584697272</v>
      </c>
      <c r="E41">
        <v>5.2861000000000012E-2</v>
      </c>
      <c r="F41">
        <v>4.718484926329638E-4</v>
      </c>
      <c r="G41">
        <v>3.2678285420473419</v>
      </c>
      <c r="H41">
        <v>-1.2768646253440361</v>
      </c>
      <c r="I41">
        <v>-1.280302994486789</v>
      </c>
    </row>
    <row r="42" spans="1:9" x14ac:dyDescent="0.2">
      <c r="A42" t="s">
        <v>7</v>
      </c>
      <c r="B42">
        <v>458</v>
      </c>
      <c r="C42">
        <v>2520.5</v>
      </c>
      <c r="D42">
        <v>6.5357988545140113</v>
      </c>
      <c r="E42">
        <v>4.6466E-2</v>
      </c>
      <c r="F42">
        <v>3.3239267273646157E-4</v>
      </c>
      <c r="G42">
        <v>3.4014867017741688</v>
      </c>
      <c r="H42">
        <v>-1.332864711913158</v>
      </c>
      <c r="I42">
        <v>-1.3388225146509769</v>
      </c>
    </row>
    <row r="43" spans="1:9" x14ac:dyDescent="0.2">
      <c r="A43" t="s">
        <v>7</v>
      </c>
      <c r="B43">
        <v>524</v>
      </c>
      <c r="C43">
        <v>3331.1</v>
      </c>
      <c r="D43">
        <v>13.673534859558281</v>
      </c>
      <c r="E43">
        <v>4.0835000000000003E-2</v>
      </c>
      <c r="F43">
        <v>1.570650962004112E-4</v>
      </c>
      <c r="G43">
        <v>3.5225876704565038</v>
      </c>
      <c r="H43">
        <v>-1.388967440075479</v>
      </c>
      <c r="I43">
        <v>-1.391844122858009</v>
      </c>
    </row>
    <row r="44" spans="1:9" x14ac:dyDescent="0.2">
      <c r="A44" t="s">
        <v>7</v>
      </c>
      <c r="B44">
        <v>589</v>
      </c>
      <c r="C44">
        <v>4192.1000000000004</v>
      </c>
      <c r="D44">
        <v>11.21749625461146</v>
      </c>
      <c r="E44">
        <v>3.6700999999999998E-2</v>
      </c>
      <c r="F44">
        <v>4.61266372789805E-5</v>
      </c>
      <c r="G44">
        <v>3.6224316339303919</v>
      </c>
      <c r="H44">
        <v>-1.43532210227202</v>
      </c>
      <c r="I44">
        <v>-1.4355587815494379</v>
      </c>
    </row>
    <row r="45" spans="1:9" x14ac:dyDescent="0.2">
      <c r="A45" t="s">
        <v>7</v>
      </c>
      <c r="B45">
        <v>655</v>
      </c>
      <c r="C45">
        <v>5196.1000000000004</v>
      </c>
      <c r="D45">
        <v>11.75438452474461</v>
      </c>
      <c r="E45">
        <v>3.3259999999999998E-2</v>
      </c>
      <c r="F45">
        <v>2.0275875100993919E-5</v>
      </c>
      <c r="G45">
        <v>3.715677500566942</v>
      </c>
      <c r="H45">
        <v>-1.4780777551165001</v>
      </c>
      <c r="I45">
        <v>-1.476384597077778</v>
      </c>
    </row>
    <row r="46" spans="1:9" x14ac:dyDescent="0.2">
      <c r="A46" t="s">
        <v>7</v>
      </c>
      <c r="B46">
        <v>665</v>
      </c>
      <c r="C46">
        <v>8269</v>
      </c>
      <c r="D46">
        <v>0</v>
      </c>
      <c r="E46">
        <v>2.5950000000000001E-2</v>
      </c>
      <c r="F46">
        <v>0</v>
      </c>
      <c r="G46">
        <v>3.9174529919296641</v>
      </c>
      <c r="H46">
        <v>-1.5858626378155229</v>
      </c>
      <c r="I46">
        <v>-1.564727912290055</v>
      </c>
    </row>
  </sheetData>
  <phoneticPr fontId="25" type="noConversion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7D40A-C89C-420E-9857-286802B3D7FB}">
  <dimension ref="A2:K46"/>
  <sheetViews>
    <sheetView zoomScale="150" zoomScaleNormal="150" workbookViewId="0">
      <selection activeCell="A2" sqref="A2"/>
    </sheetView>
  </sheetViews>
  <sheetFormatPr baseColWidth="10" defaultColWidth="8.83203125" defaultRowHeight="15" x14ac:dyDescent="0.2"/>
  <cols>
    <col min="2" max="2" width="10.1640625" customWidth="1"/>
  </cols>
  <sheetData>
    <row r="2" spans="1:11" x14ac:dyDescent="0.2">
      <c r="A2" s="21" t="s">
        <v>25</v>
      </c>
      <c r="B2" s="28" t="s">
        <v>26</v>
      </c>
      <c r="C2" s="29" t="s">
        <v>27</v>
      </c>
      <c r="D2" s="29" t="s">
        <v>28</v>
      </c>
      <c r="E2" s="29" t="s">
        <v>29</v>
      </c>
      <c r="F2" s="29" t="s">
        <v>30</v>
      </c>
      <c r="G2" s="29" t="s">
        <v>31</v>
      </c>
      <c r="H2" s="29" t="s">
        <v>32</v>
      </c>
      <c r="I2" s="29" t="s">
        <v>33</v>
      </c>
      <c r="J2" s="30"/>
      <c r="K2" s="30"/>
    </row>
    <row r="3" spans="1:11" x14ac:dyDescent="0.2">
      <c r="A3" t="s">
        <v>4</v>
      </c>
      <c r="B3">
        <v>65</v>
      </c>
      <c r="C3">
        <v>54.1</v>
      </c>
      <c r="D3">
        <v>2.1105554824368968</v>
      </c>
      <c r="E3">
        <v>0.21757000000000001</v>
      </c>
      <c r="F3">
        <v>4.4148104275394569E-3</v>
      </c>
      <c r="G3">
        <v>1.733197265106569</v>
      </c>
      <c r="H3">
        <v>-0.66240098826001137</v>
      </c>
      <c r="I3">
        <v>-0.6483143837514157</v>
      </c>
    </row>
    <row r="4" spans="1:11" x14ac:dyDescent="0.2">
      <c r="A4" t="s">
        <v>4</v>
      </c>
      <c r="B4">
        <v>131</v>
      </c>
      <c r="C4">
        <v>216.5</v>
      </c>
      <c r="D4">
        <v>2.486630920207769</v>
      </c>
      <c r="E4">
        <v>0.122269</v>
      </c>
      <c r="F4">
        <v>1.696034885647501E-3</v>
      </c>
      <c r="G4">
        <v>2.3354579006893839</v>
      </c>
      <c r="H4">
        <v>-0.91268363973813083</v>
      </c>
      <c r="I4">
        <v>-0.9100379661162683</v>
      </c>
    </row>
    <row r="5" spans="1:11" x14ac:dyDescent="0.2">
      <c r="A5" t="s">
        <v>4</v>
      </c>
      <c r="B5">
        <v>196</v>
      </c>
      <c r="C5">
        <v>475.2</v>
      </c>
      <c r="D5">
        <v>4.6804558182581601</v>
      </c>
      <c r="E5">
        <v>8.8970999999999995E-2</v>
      </c>
      <c r="F5">
        <v>1.258028837330669E-3</v>
      </c>
      <c r="G5">
        <v>2.6768764319731368</v>
      </c>
      <c r="H5">
        <v>-1.050751528100486</v>
      </c>
      <c r="I5">
        <v>-1.0584077512456891</v>
      </c>
    </row>
    <row r="6" spans="1:11" x14ac:dyDescent="0.2">
      <c r="A6" t="s">
        <v>4</v>
      </c>
      <c r="B6">
        <v>262</v>
      </c>
      <c r="C6">
        <v>867.1</v>
      </c>
      <c r="D6">
        <v>5.5486735151545714</v>
      </c>
      <c r="E6">
        <v>6.9492999999999999E-2</v>
      </c>
      <c r="F6">
        <v>7.1478831365190431E-4</v>
      </c>
      <c r="G6">
        <v>2.9380691862233861</v>
      </c>
      <c r="H6">
        <v>-1.1580589395031271</v>
      </c>
      <c r="I6">
        <v>-1.1719139299517971</v>
      </c>
    </row>
    <row r="7" spans="1:11" x14ac:dyDescent="0.2">
      <c r="A7" t="s">
        <v>4</v>
      </c>
      <c r="B7">
        <v>328</v>
      </c>
      <c r="C7">
        <v>1347.8</v>
      </c>
      <c r="D7">
        <v>9.7431457388714495</v>
      </c>
      <c r="E7">
        <v>5.6467999999999997E-2</v>
      </c>
      <c r="F7">
        <v>3.919688196216065E-4</v>
      </c>
      <c r="G7">
        <v>3.129625452035683</v>
      </c>
      <c r="H7">
        <v>-1.2481975939586329</v>
      </c>
      <c r="I7">
        <v>-1.255158274925984</v>
      </c>
    </row>
    <row r="8" spans="1:11" x14ac:dyDescent="0.2">
      <c r="A8" t="s">
        <v>4</v>
      </c>
      <c r="B8">
        <v>393</v>
      </c>
      <c r="C8">
        <v>1958</v>
      </c>
      <c r="D8">
        <v>6.7214416443035319</v>
      </c>
      <c r="E8">
        <v>4.8088000000000013E-2</v>
      </c>
      <c r="F8">
        <v>1.7630655121123509E-4</v>
      </c>
      <c r="G8">
        <v>3.291812687467119</v>
      </c>
      <c r="H8">
        <v>-1.31796328503944</v>
      </c>
      <c r="I8">
        <v>-1.3256397604540711</v>
      </c>
    </row>
    <row r="9" spans="1:11" x14ac:dyDescent="0.2">
      <c r="A9" t="s">
        <v>4</v>
      </c>
      <c r="B9">
        <v>459</v>
      </c>
      <c r="C9">
        <v>2654.7</v>
      </c>
      <c r="D9">
        <v>7.4893257373411126</v>
      </c>
      <c r="E9">
        <v>4.1514000000000002E-2</v>
      </c>
      <c r="F9">
        <v>1.0577964517492631E-4</v>
      </c>
      <c r="G9">
        <v>3.4240154498219888</v>
      </c>
      <c r="H9">
        <v>-1.3818054190128619</v>
      </c>
      <c r="I9">
        <v>-1.383090934443822</v>
      </c>
    </row>
    <row r="10" spans="1:11" x14ac:dyDescent="0.2">
      <c r="A10" t="s">
        <v>4</v>
      </c>
      <c r="B10">
        <v>524</v>
      </c>
      <c r="C10">
        <v>3471.9</v>
      </c>
      <c r="D10">
        <v>7.8760537213900612</v>
      </c>
      <c r="E10">
        <v>3.7012999999999997E-2</v>
      </c>
      <c r="F10">
        <v>7.2817122528518924E-5</v>
      </c>
      <c r="G10">
        <v>3.5405672078426962</v>
      </c>
      <c r="H10">
        <v>-1.43164571277997</v>
      </c>
      <c r="I10">
        <v>-1.4337406728425159</v>
      </c>
    </row>
    <row r="11" spans="1:11" x14ac:dyDescent="0.2">
      <c r="A11" t="s">
        <v>4</v>
      </c>
      <c r="B11">
        <v>590</v>
      </c>
      <c r="C11">
        <v>4413.5</v>
      </c>
      <c r="D11">
        <v>4.8125992053266922</v>
      </c>
      <c r="E11">
        <v>3.3245999999999998E-2</v>
      </c>
      <c r="F11">
        <v>4.7215816559001928E-5</v>
      </c>
      <c r="G11">
        <v>3.6447831309233569</v>
      </c>
      <c r="H11">
        <v>-1.4782605994564519</v>
      </c>
      <c r="I11">
        <v>-1.4790296442887989</v>
      </c>
    </row>
    <row r="12" spans="1:11" x14ac:dyDescent="0.2">
      <c r="A12" t="s">
        <v>4</v>
      </c>
      <c r="B12">
        <v>656</v>
      </c>
      <c r="C12">
        <v>5462.5</v>
      </c>
      <c r="D12">
        <v>5.2983225857078793</v>
      </c>
      <c r="E12">
        <v>3.0091E-2</v>
      </c>
      <c r="F12">
        <v>1.7285189549952141E-5</v>
      </c>
      <c r="G12">
        <v>3.7373914499784782</v>
      </c>
      <c r="H12">
        <v>-1.521563379316567</v>
      </c>
      <c r="I12">
        <v>-1.5192743150972079</v>
      </c>
    </row>
    <row r="13" spans="1:11" x14ac:dyDescent="0.2">
      <c r="A13" t="s">
        <v>4</v>
      </c>
      <c r="B13">
        <v>666</v>
      </c>
      <c r="C13">
        <v>8615</v>
      </c>
      <c r="D13">
        <v>0</v>
      </c>
      <c r="E13">
        <v>2.3630000000000009E-2</v>
      </c>
      <c r="F13">
        <v>1.1564823173178709E-18</v>
      </c>
      <c r="G13">
        <v>3.9352552817840469</v>
      </c>
      <c r="H13">
        <v>-1.6265362783676309</v>
      </c>
      <c r="I13">
        <v>-1.6052597304157381</v>
      </c>
    </row>
    <row r="14" spans="1:11" x14ac:dyDescent="0.2">
      <c r="A14" t="s">
        <v>5</v>
      </c>
      <c r="B14">
        <v>65</v>
      </c>
      <c r="C14">
        <v>47.8</v>
      </c>
      <c r="D14">
        <v>1.481740718059525</v>
      </c>
      <c r="E14">
        <v>0.20963699999999999</v>
      </c>
      <c r="F14">
        <v>8.4001738143392648E-3</v>
      </c>
      <c r="G14">
        <v>1.679427896612119</v>
      </c>
      <c r="H14">
        <v>-0.67853206387484444</v>
      </c>
      <c r="I14">
        <v>-0.65745448535624873</v>
      </c>
    </row>
    <row r="15" spans="1:11" x14ac:dyDescent="0.2">
      <c r="A15" t="s">
        <v>5</v>
      </c>
      <c r="B15">
        <v>130</v>
      </c>
      <c r="C15">
        <v>201.9</v>
      </c>
      <c r="D15">
        <v>3.813572253587616</v>
      </c>
      <c r="E15">
        <v>0.12109300000000001</v>
      </c>
      <c r="F15">
        <v>3.5074850280824039E-3</v>
      </c>
      <c r="G15">
        <v>2.3051363189436391</v>
      </c>
      <c r="H15">
        <v>-0.91688096130979457</v>
      </c>
      <c r="I15">
        <v>-0.93221109867613228</v>
      </c>
    </row>
    <row r="16" spans="1:11" x14ac:dyDescent="0.2">
      <c r="A16" t="s">
        <v>5</v>
      </c>
      <c r="B16">
        <v>196</v>
      </c>
      <c r="C16">
        <v>453</v>
      </c>
      <c r="D16">
        <v>4.7539457296018854</v>
      </c>
      <c r="E16">
        <v>8.2914000000000015E-2</v>
      </c>
      <c r="F16">
        <v>1.122124176135005E-3</v>
      </c>
      <c r="G16">
        <v>2.6560982020128319</v>
      </c>
      <c r="H16">
        <v>-1.0813721327862229</v>
      </c>
      <c r="I16">
        <v>-1.086322974039972</v>
      </c>
    </row>
    <row r="17" spans="1:9" x14ac:dyDescent="0.2">
      <c r="A17" t="s">
        <v>5</v>
      </c>
      <c r="B17">
        <v>262</v>
      </c>
      <c r="C17">
        <v>828.6</v>
      </c>
      <c r="D17">
        <v>7.001904502823975</v>
      </c>
      <c r="E17">
        <v>6.3450999999999994E-2</v>
      </c>
      <c r="F17">
        <v>5.8089863334511436E-4</v>
      </c>
      <c r="G17">
        <v>2.9183449289622749</v>
      </c>
      <c r="H17">
        <v>-1.1975615289505279</v>
      </c>
      <c r="I17">
        <v>-1.201478883692531</v>
      </c>
    </row>
    <row r="18" spans="1:9" x14ac:dyDescent="0.2">
      <c r="A18" t="s">
        <v>5</v>
      </c>
      <c r="B18">
        <v>327</v>
      </c>
      <c r="C18">
        <v>1287.8</v>
      </c>
      <c r="D18">
        <v>4.2551929059287863</v>
      </c>
      <c r="E18">
        <v>5.297799999999999E-2</v>
      </c>
      <c r="F18">
        <v>4.0885694319651712E-4</v>
      </c>
      <c r="G18">
        <v>3.109848420756105</v>
      </c>
      <c r="H18">
        <v>-1.2759044410059239</v>
      </c>
      <c r="I18">
        <v>-1.285570529203939</v>
      </c>
    </row>
    <row r="19" spans="1:9" x14ac:dyDescent="0.2">
      <c r="A19" t="s">
        <v>5</v>
      </c>
      <c r="B19">
        <v>393</v>
      </c>
      <c r="C19">
        <v>1847</v>
      </c>
      <c r="D19">
        <v>6.2307481270086829</v>
      </c>
      <c r="E19">
        <v>4.4794E-2</v>
      </c>
      <c r="F19">
        <v>2.9242358925975057E-4</v>
      </c>
      <c r="G19">
        <v>3.2664668954402409</v>
      </c>
      <c r="H19">
        <v>-1.3487801543366851</v>
      </c>
      <c r="I19">
        <v>-1.3543437151668081</v>
      </c>
    </row>
    <row r="20" spans="1:9" x14ac:dyDescent="0.2">
      <c r="A20" t="s">
        <v>5</v>
      </c>
      <c r="B20">
        <v>458</v>
      </c>
      <c r="C20">
        <v>2522.6999999999998</v>
      </c>
      <c r="D20">
        <v>6.4412731660751668</v>
      </c>
      <c r="E20">
        <v>3.8827E-2</v>
      </c>
      <c r="F20">
        <v>1.6180269191552729E-4</v>
      </c>
      <c r="G20">
        <v>3.401865607199611</v>
      </c>
      <c r="H20">
        <v>-1.4108661642769911</v>
      </c>
      <c r="I20">
        <v>-1.413799030395358</v>
      </c>
    </row>
    <row r="21" spans="1:9" x14ac:dyDescent="0.2">
      <c r="A21" t="s">
        <v>5</v>
      </c>
      <c r="B21">
        <v>524</v>
      </c>
      <c r="C21">
        <v>3294.9</v>
      </c>
      <c r="D21">
        <v>4.3879886559156516</v>
      </c>
      <c r="E21">
        <v>3.4486999999999997E-2</v>
      </c>
      <c r="F21">
        <v>1.064273356698253E-4</v>
      </c>
      <c r="G21">
        <v>3.5178422383208559</v>
      </c>
      <c r="H21">
        <v>-1.4623445829626329</v>
      </c>
      <c r="I21">
        <v>-1.4647258602954349</v>
      </c>
    </row>
    <row r="22" spans="1:9" x14ac:dyDescent="0.2">
      <c r="A22" t="s">
        <v>5</v>
      </c>
      <c r="B22">
        <v>589</v>
      </c>
      <c r="C22">
        <v>4152.6000000000004</v>
      </c>
      <c r="D22">
        <v>5.2877216265609137</v>
      </c>
      <c r="E22">
        <v>3.0827E-2</v>
      </c>
      <c r="F22">
        <v>7.7374270773803059E-5</v>
      </c>
      <c r="G22">
        <v>3.6183200996244</v>
      </c>
      <c r="H22">
        <v>-1.511068737577747</v>
      </c>
      <c r="I22">
        <v>-1.508846981092431</v>
      </c>
    </row>
    <row r="23" spans="1:9" x14ac:dyDescent="0.2">
      <c r="A23" t="s">
        <v>5</v>
      </c>
      <c r="B23">
        <v>655</v>
      </c>
      <c r="C23">
        <v>5122</v>
      </c>
      <c r="D23">
        <v>3.245509718570156</v>
      </c>
      <c r="E23">
        <v>2.7997999999999999E-2</v>
      </c>
      <c r="F23">
        <v>6.9694571763756011E-5</v>
      </c>
      <c r="G23">
        <v>3.7094395741324111</v>
      </c>
      <c r="H23">
        <v>-1.5528729908001491</v>
      </c>
      <c r="I23">
        <v>-1.5488587139216301</v>
      </c>
    </row>
    <row r="24" spans="1:9" x14ac:dyDescent="0.2">
      <c r="A24" t="s">
        <v>5</v>
      </c>
      <c r="B24">
        <v>665</v>
      </c>
      <c r="C24">
        <v>8165</v>
      </c>
      <c r="D24">
        <v>0</v>
      </c>
      <c r="E24">
        <v>2.2120000000000001E-2</v>
      </c>
      <c r="F24">
        <v>0</v>
      </c>
      <c r="G24">
        <v>3.9119561890726868</v>
      </c>
      <c r="H24">
        <v>-1.655214877367339</v>
      </c>
      <c r="I24">
        <v>-1.637786363408368</v>
      </c>
    </row>
    <row r="25" spans="1:9" x14ac:dyDescent="0.2">
      <c r="A25" t="s">
        <v>6</v>
      </c>
      <c r="B25">
        <v>65</v>
      </c>
      <c r="C25">
        <v>50.3</v>
      </c>
      <c r="D25">
        <v>1.932471072084766</v>
      </c>
      <c r="E25">
        <v>0.22636899999999999</v>
      </c>
      <c r="F25">
        <v>9.6514480721231095E-3</v>
      </c>
      <c r="G25">
        <v>1.7015679850559271</v>
      </c>
      <c r="H25">
        <v>-0.64518304767258239</v>
      </c>
      <c r="I25">
        <v>-0.63426802337529631</v>
      </c>
    </row>
    <row r="26" spans="1:9" x14ac:dyDescent="0.2">
      <c r="A26" t="s">
        <v>6</v>
      </c>
      <c r="B26">
        <v>130</v>
      </c>
      <c r="C26">
        <v>206.7</v>
      </c>
      <c r="D26">
        <v>2.6459612829954851</v>
      </c>
      <c r="E26">
        <v>0.125886</v>
      </c>
      <c r="F26">
        <v>3.0218460877049621E-3</v>
      </c>
      <c r="G26">
        <v>2.3153404766272878</v>
      </c>
      <c r="H26">
        <v>-0.90002256584785312</v>
      </c>
      <c r="I26">
        <v>-0.90375366549658631</v>
      </c>
    </row>
    <row r="27" spans="1:9" x14ac:dyDescent="0.2">
      <c r="A27" t="s">
        <v>6</v>
      </c>
      <c r="B27">
        <v>196</v>
      </c>
      <c r="C27">
        <v>482.2</v>
      </c>
      <c r="D27">
        <v>4.5504578524217392</v>
      </c>
      <c r="E27">
        <v>8.7340000000000001E-2</v>
      </c>
      <c r="F27">
        <v>1.83016331997387E-3</v>
      </c>
      <c r="G27">
        <v>2.6832272060414351</v>
      </c>
      <c r="H27">
        <v>-1.0587868124146791</v>
      </c>
      <c r="I27">
        <v>-1.06527962644387</v>
      </c>
    </row>
    <row r="28" spans="1:9" x14ac:dyDescent="0.2">
      <c r="A28" t="s">
        <v>6</v>
      </c>
      <c r="B28">
        <v>262</v>
      </c>
      <c r="C28">
        <v>861.6</v>
      </c>
      <c r="D28">
        <v>7.7189521453512224</v>
      </c>
      <c r="E28">
        <v>6.6927E-2</v>
      </c>
      <c r="F28">
        <v>7.3840977783341984E-4</v>
      </c>
      <c r="G28">
        <v>2.9353056902899248</v>
      </c>
      <c r="H28">
        <v>-1.174398641792348</v>
      </c>
      <c r="I28">
        <v>-1.1759583113402059</v>
      </c>
    </row>
    <row r="29" spans="1:9" x14ac:dyDescent="0.2">
      <c r="A29" t="s">
        <v>6</v>
      </c>
      <c r="B29">
        <v>327</v>
      </c>
      <c r="C29">
        <v>1352.6</v>
      </c>
      <c r="D29">
        <v>6.8737827205177844</v>
      </c>
      <c r="E29">
        <v>5.5237000000000001E-2</v>
      </c>
      <c r="F29">
        <v>4.2723672855013559E-4</v>
      </c>
      <c r="G29">
        <v>3.1311693830893241</v>
      </c>
      <c r="H29">
        <v>-1.2577699166036489</v>
      </c>
      <c r="I29">
        <v>-1.26195508334796</v>
      </c>
    </row>
    <row r="30" spans="1:9" x14ac:dyDescent="0.2">
      <c r="A30" t="s">
        <v>6</v>
      </c>
      <c r="B30">
        <v>393</v>
      </c>
      <c r="C30">
        <v>1946</v>
      </c>
      <c r="D30">
        <v>11.99536947696439</v>
      </c>
      <c r="E30">
        <v>4.6784000000000013E-2</v>
      </c>
      <c r="F30">
        <v>2.1572204337990121E-4</v>
      </c>
      <c r="G30">
        <v>3.2891428359323331</v>
      </c>
      <c r="H30">
        <v>-1.329902649058252</v>
      </c>
      <c r="I30">
        <v>-1.3313156004159781</v>
      </c>
    </row>
    <row r="31" spans="1:9" x14ac:dyDescent="0.2">
      <c r="A31" t="s">
        <v>6</v>
      </c>
      <c r="B31">
        <v>458</v>
      </c>
      <c r="C31">
        <v>2656.6</v>
      </c>
      <c r="D31">
        <v>6.4069406809247793</v>
      </c>
      <c r="E31">
        <v>4.0791000000000001E-2</v>
      </c>
      <c r="F31">
        <v>1.67573864310638E-4</v>
      </c>
      <c r="G31">
        <v>3.4243261683092951</v>
      </c>
      <c r="H31">
        <v>-1.38943564773124</v>
      </c>
      <c r="I31">
        <v>-1.390669787235975</v>
      </c>
    </row>
    <row r="32" spans="1:9" x14ac:dyDescent="0.2">
      <c r="A32" t="s">
        <v>6</v>
      </c>
      <c r="B32">
        <v>524</v>
      </c>
      <c r="C32">
        <v>3494.5</v>
      </c>
      <c r="D32">
        <v>5.2667721508423817</v>
      </c>
      <c r="E32">
        <v>3.6569999999999998E-2</v>
      </c>
      <c r="F32">
        <v>8.2273257434532421E-5</v>
      </c>
      <c r="G32">
        <v>3.5433850448098432</v>
      </c>
      <c r="H32">
        <v>-1.4368750396619561</v>
      </c>
      <c r="I32">
        <v>-1.4429442997379081</v>
      </c>
    </row>
    <row r="33" spans="1:9" x14ac:dyDescent="0.2">
      <c r="A33" t="s">
        <v>6</v>
      </c>
      <c r="B33">
        <v>589</v>
      </c>
      <c r="C33">
        <v>4403.3</v>
      </c>
      <c r="D33">
        <v>3.2285187522040708</v>
      </c>
      <c r="E33">
        <v>3.2891999999999998E-2</v>
      </c>
      <c r="F33">
        <v>5.9363288318623168E-5</v>
      </c>
      <c r="G33">
        <v>3.6437782752633301</v>
      </c>
      <c r="H33">
        <v>-1.482909718412877</v>
      </c>
      <c r="I33">
        <v>-1.487023391819934</v>
      </c>
    </row>
    <row r="34" spans="1:9" x14ac:dyDescent="0.2">
      <c r="A34" t="s">
        <v>6</v>
      </c>
      <c r="B34">
        <v>655</v>
      </c>
      <c r="C34">
        <v>5438.6</v>
      </c>
      <c r="D34">
        <v>5.8938762947467591</v>
      </c>
      <c r="E34">
        <v>2.9750999999999989E-2</v>
      </c>
      <c r="F34">
        <v>5.8849148016111702E-5</v>
      </c>
      <c r="G34">
        <v>3.7354871183516791</v>
      </c>
      <c r="H34">
        <v>-1.526498432046927</v>
      </c>
      <c r="I34">
        <v>-1.527289478696183</v>
      </c>
    </row>
    <row r="35" spans="1:9" x14ac:dyDescent="0.2">
      <c r="A35" t="s">
        <v>6</v>
      </c>
      <c r="B35">
        <v>665</v>
      </c>
      <c r="C35">
        <v>8619</v>
      </c>
      <c r="D35">
        <v>0</v>
      </c>
      <c r="E35">
        <v>2.324E-2</v>
      </c>
      <c r="F35">
        <v>1.1564823173178709E-18</v>
      </c>
      <c r="G35">
        <v>3.9354568807116102</v>
      </c>
      <c r="H35">
        <v>-1.6337638762817071</v>
      </c>
      <c r="I35">
        <v>-1.6150890796141759</v>
      </c>
    </row>
    <row r="36" spans="1:9" x14ac:dyDescent="0.2">
      <c r="A36" t="s">
        <v>7</v>
      </c>
      <c r="B36">
        <v>65</v>
      </c>
      <c r="C36">
        <v>52.1</v>
      </c>
      <c r="D36">
        <v>1.303414319734477</v>
      </c>
      <c r="E36">
        <v>0.240152</v>
      </c>
      <c r="F36">
        <v>8.7450770659205108E-3</v>
      </c>
      <c r="G36">
        <v>1.716837723299524</v>
      </c>
      <c r="H36">
        <v>-0.61951379217993485</v>
      </c>
      <c r="I36">
        <v>-0.60123305459169774</v>
      </c>
    </row>
    <row r="37" spans="1:9" x14ac:dyDescent="0.2">
      <c r="A37" t="s">
        <v>7</v>
      </c>
      <c r="B37">
        <v>130</v>
      </c>
      <c r="C37">
        <v>209.8</v>
      </c>
      <c r="D37">
        <v>2.6364959911046908</v>
      </c>
      <c r="E37">
        <v>0.13777800000000001</v>
      </c>
      <c r="F37">
        <v>3.3789050823536831E-3</v>
      </c>
      <c r="G37">
        <v>2.3218054838575388</v>
      </c>
      <c r="H37">
        <v>-0.8608201238026838</v>
      </c>
      <c r="I37">
        <v>-0.86610594476926028</v>
      </c>
    </row>
    <row r="38" spans="1:9" x14ac:dyDescent="0.2">
      <c r="A38" t="s">
        <v>7</v>
      </c>
      <c r="B38">
        <v>196</v>
      </c>
      <c r="C38">
        <v>468.5</v>
      </c>
      <c r="D38">
        <v>5.497979426823802</v>
      </c>
      <c r="E38">
        <v>9.8486999999999991E-2</v>
      </c>
      <c r="F38">
        <v>1.65567646463781E-3</v>
      </c>
      <c r="G38">
        <v>2.6707095952237969</v>
      </c>
      <c r="H38">
        <v>-1.00662109133858</v>
      </c>
      <c r="I38">
        <v>-1.018866548552795</v>
      </c>
    </row>
    <row r="39" spans="1:9" x14ac:dyDescent="0.2">
      <c r="A39" t="s">
        <v>7</v>
      </c>
      <c r="B39">
        <v>262</v>
      </c>
      <c r="C39">
        <v>827.9</v>
      </c>
      <c r="D39">
        <v>7.2853734747551986</v>
      </c>
      <c r="E39">
        <v>7.5895999999999991E-2</v>
      </c>
      <c r="F39">
        <v>1.2227766217370469E-3</v>
      </c>
      <c r="G39">
        <v>2.9179778825929081</v>
      </c>
      <c r="H39">
        <v>-1.119781112427374</v>
      </c>
      <c r="I39">
        <v>-1.1271279637797831</v>
      </c>
    </row>
    <row r="40" spans="1:9" x14ac:dyDescent="0.2">
      <c r="A40" t="s">
        <v>7</v>
      </c>
      <c r="B40">
        <v>327</v>
      </c>
      <c r="C40">
        <v>1281.5999999999999</v>
      </c>
      <c r="D40">
        <v>8.6976369715508852</v>
      </c>
      <c r="E40">
        <v>6.2158999999999999E-2</v>
      </c>
      <c r="F40">
        <v>9.4199368952828475E-4</v>
      </c>
      <c r="G40">
        <v>3.107752498740163</v>
      </c>
      <c r="H40">
        <v>-1.2064959809828071</v>
      </c>
      <c r="I40">
        <v>-1.210216938661512</v>
      </c>
    </row>
    <row r="41" spans="1:9" x14ac:dyDescent="0.2">
      <c r="A41" t="s">
        <v>7</v>
      </c>
      <c r="B41">
        <v>393</v>
      </c>
      <c r="C41">
        <v>1852.8</v>
      </c>
      <c r="D41">
        <v>6.5959583584697272</v>
      </c>
      <c r="E41">
        <v>5.2861000000000012E-2</v>
      </c>
      <c r="F41">
        <v>4.718484926329638E-4</v>
      </c>
      <c r="G41">
        <v>3.2678285420473419</v>
      </c>
      <c r="H41">
        <v>-1.2768646253440361</v>
      </c>
      <c r="I41">
        <v>-1.280302994486789</v>
      </c>
    </row>
    <row r="42" spans="1:9" x14ac:dyDescent="0.2">
      <c r="A42" t="s">
        <v>7</v>
      </c>
      <c r="B42">
        <v>458</v>
      </c>
      <c r="C42">
        <v>2520.5</v>
      </c>
      <c r="D42">
        <v>6.5357988545140113</v>
      </c>
      <c r="E42">
        <v>4.6466E-2</v>
      </c>
      <c r="F42">
        <v>3.3239267273646157E-4</v>
      </c>
      <c r="G42">
        <v>3.4014867017741688</v>
      </c>
      <c r="H42">
        <v>-1.332864711913158</v>
      </c>
      <c r="I42">
        <v>-1.3388225146509769</v>
      </c>
    </row>
    <row r="43" spans="1:9" x14ac:dyDescent="0.2">
      <c r="A43" t="s">
        <v>7</v>
      </c>
      <c r="B43">
        <v>524</v>
      </c>
      <c r="C43">
        <v>3331.1</v>
      </c>
      <c r="D43">
        <v>13.673534859558281</v>
      </c>
      <c r="E43">
        <v>4.0835000000000003E-2</v>
      </c>
      <c r="F43">
        <v>1.570650962004112E-4</v>
      </c>
      <c r="G43">
        <v>3.5225876704565038</v>
      </c>
      <c r="H43">
        <v>-1.388967440075479</v>
      </c>
      <c r="I43">
        <v>-1.391844122858009</v>
      </c>
    </row>
    <row r="44" spans="1:9" x14ac:dyDescent="0.2">
      <c r="A44" t="s">
        <v>7</v>
      </c>
      <c r="B44">
        <v>589</v>
      </c>
      <c r="C44">
        <v>4192.1000000000004</v>
      </c>
      <c r="D44">
        <v>11.21749625461146</v>
      </c>
      <c r="E44">
        <v>3.6700999999999998E-2</v>
      </c>
      <c r="F44">
        <v>4.61266372789805E-5</v>
      </c>
      <c r="G44">
        <v>3.6224316339303919</v>
      </c>
      <c r="H44">
        <v>-1.43532210227202</v>
      </c>
      <c r="I44">
        <v>-1.4355587815494379</v>
      </c>
    </row>
    <row r="45" spans="1:9" x14ac:dyDescent="0.2">
      <c r="A45" t="s">
        <v>7</v>
      </c>
      <c r="B45">
        <v>655</v>
      </c>
      <c r="C45">
        <v>5196.1000000000004</v>
      </c>
      <c r="D45">
        <v>11.75438452474461</v>
      </c>
      <c r="E45">
        <v>3.3259999999999998E-2</v>
      </c>
      <c r="F45">
        <v>2.0275875100993919E-5</v>
      </c>
      <c r="G45">
        <v>3.715677500566942</v>
      </c>
      <c r="H45">
        <v>-1.4780777551165001</v>
      </c>
      <c r="I45">
        <v>-1.476384597077778</v>
      </c>
    </row>
    <row r="46" spans="1:9" x14ac:dyDescent="0.2">
      <c r="A46" t="s">
        <v>7</v>
      </c>
      <c r="B46">
        <v>665</v>
      </c>
      <c r="C46">
        <v>8269</v>
      </c>
      <c r="D46">
        <v>0</v>
      </c>
      <c r="E46">
        <v>2.5950000000000001E-2</v>
      </c>
      <c r="F46">
        <v>0</v>
      </c>
      <c r="G46">
        <v>3.9174529919296641</v>
      </c>
      <c r="H46">
        <v>-1.5858626378155229</v>
      </c>
      <c r="I46">
        <v>-1.564727912290055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1F077-EC4F-492C-BDC7-962283AFF80E}">
  <dimension ref="A1:K46"/>
  <sheetViews>
    <sheetView zoomScale="150" zoomScaleNormal="150" workbookViewId="0">
      <selection activeCell="A2" sqref="A2"/>
    </sheetView>
  </sheetViews>
  <sheetFormatPr baseColWidth="10" defaultColWidth="8.83203125" defaultRowHeight="15" x14ac:dyDescent="0.2"/>
  <cols>
    <col min="2" max="2" width="10.6640625" customWidth="1"/>
  </cols>
  <sheetData>
    <row r="1" spans="1:11" x14ac:dyDescent="0.2">
      <c r="A1" s="27"/>
      <c r="B1" s="27"/>
      <c r="C1" s="27"/>
      <c r="D1" s="27"/>
      <c r="E1" s="27"/>
      <c r="F1" s="27"/>
      <c r="G1" s="27"/>
      <c r="H1" s="27"/>
      <c r="I1" s="27"/>
    </row>
    <row r="2" spans="1:11" x14ac:dyDescent="0.2">
      <c r="A2" s="21" t="s">
        <v>25</v>
      </c>
      <c r="B2" s="28" t="s">
        <v>26</v>
      </c>
      <c r="C2" s="29" t="s">
        <v>27</v>
      </c>
      <c r="D2" s="29" t="s">
        <v>28</v>
      </c>
      <c r="E2" s="29" t="s">
        <v>29</v>
      </c>
      <c r="F2" s="29" t="s">
        <v>30</v>
      </c>
      <c r="G2" s="29" t="s">
        <v>31</v>
      </c>
      <c r="H2" s="29" t="s">
        <v>32</v>
      </c>
      <c r="I2" s="29" t="s">
        <v>33</v>
      </c>
      <c r="J2" s="1"/>
      <c r="K2" s="1"/>
    </row>
    <row r="3" spans="1:11" x14ac:dyDescent="0.2">
      <c r="A3" s="27" t="s">
        <v>4</v>
      </c>
      <c r="B3">
        <v>65</v>
      </c>
      <c r="C3">
        <v>54.1</v>
      </c>
      <c r="D3">
        <v>2.1105554824368968</v>
      </c>
      <c r="E3">
        <v>0.21757000000000001</v>
      </c>
      <c r="F3">
        <v>4.4148104275394569E-3</v>
      </c>
      <c r="G3">
        <v>1.733197265106569</v>
      </c>
      <c r="H3">
        <v>-0.66240098826001137</v>
      </c>
      <c r="I3">
        <v>-0.6483143837514157</v>
      </c>
    </row>
    <row r="4" spans="1:11" x14ac:dyDescent="0.2">
      <c r="A4" s="27" t="s">
        <v>4</v>
      </c>
      <c r="B4">
        <v>131</v>
      </c>
      <c r="C4">
        <v>216.5</v>
      </c>
      <c r="D4">
        <v>2.486630920207769</v>
      </c>
      <c r="E4">
        <v>0.122269</v>
      </c>
      <c r="F4">
        <v>1.696034885647501E-3</v>
      </c>
      <c r="G4">
        <v>2.3354579006893839</v>
      </c>
      <c r="H4">
        <v>-0.91268363973813083</v>
      </c>
      <c r="I4">
        <v>-0.9100379661162683</v>
      </c>
    </row>
    <row r="5" spans="1:11" x14ac:dyDescent="0.2">
      <c r="A5" s="27" t="s">
        <v>4</v>
      </c>
      <c r="B5">
        <v>196</v>
      </c>
      <c r="C5">
        <v>475.2</v>
      </c>
      <c r="D5">
        <v>4.6804558182581601</v>
      </c>
      <c r="E5">
        <v>8.8970999999999995E-2</v>
      </c>
      <c r="F5">
        <v>1.258028837330669E-3</v>
      </c>
      <c r="G5">
        <v>2.6768764319731368</v>
      </c>
      <c r="H5">
        <v>-1.050751528100486</v>
      </c>
      <c r="I5">
        <v>-1.0584077512456891</v>
      </c>
    </row>
    <row r="6" spans="1:11" x14ac:dyDescent="0.2">
      <c r="A6" s="27" t="s">
        <v>4</v>
      </c>
      <c r="B6">
        <v>262</v>
      </c>
      <c r="C6">
        <v>867.1</v>
      </c>
      <c r="D6">
        <v>5.5486735151545714</v>
      </c>
      <c r="E6">
        <v>6.9492999999999999E-2</v>
      </c>
      <c r="F6">
        <v>7.1478831365190431E-4</v>
      </c>
      <c r="G6">
        <v>2.9380691862233861</v>
      </c>
      <c r="H6">
        <v>-1.1580589395031271</v>
      </c>
      <c r="I6">
        <v>-1.1719139299517971</v>
      </c>
    </row>
    <row r="7" spans="1:11" x14ac:dyDescent="0.2">
      <c r="A7" s="27" t="s">
        <v>4</v>
      </c>
      <c r="B7">
        <v>328</v>
      </c>
      <c r="C7">
        <v>1347.8</v>
      </c>
      <c r="D7">
        <v>9.7431457388714495</v>
      </c>
      <c r="E7">
        <v>5.6467999999999997E-2</v>
      </c>
      <c r="F7">
        <v>3.919688196216065E-4</v>
      </c>
      <c r="G7">
        <v>3.129625452035683</v>
      </c>
      <c r="H7">
        <v>-1.2481975939586329</v>
      </c>
      <c r="I7">
        <v>-1.255158274925984</v>
      </c>
    </row>
    <row r="8" spans="1:11" x14ac:dyDescent="0.2">
      <c r="A8" s="27" t="s">
        <v>4</v>
      </c>
      <c r="B8">
        <v>393</v>
      </c>
      <c r="C8">
        <v>1958</v>
      </c>
      <c r="D8">
        <v>6.7214416443035319</v>
      </c>
      <c r="E8">
        <v>4.8088000000000013E-2</v>
      </c>
      <c r="F8">
        <v>1.7630655121123509E-4</v>
      </c>
      <c r="G8">
        <v>3.291812687467119</v>
      </c>
      <c r="H8">
        <v>-1.31796328503944</v>
      </c>
      <c r="I8">
        <v>-1.3256397604540711</v>
      </c>
    </row>
    <row r="9" spans="1:11" x14ac:dyDescent="0.2">
      <c r="A9" s="27" t="s">
        <v>4</v>
      </c>
      <c r="B9">
        <v>459</v>
      </c>
      <c r="C9">
        <v>2654.7</v>
      </c>
      <c r="D9">
        <v>7.4893257373411126</v>
      </c>
      <c r="E9">
        <v>4.1514000000000002E-2</v>
      </c>
      <c r="F9">
        <v>1.0577964517492631E-4</v>
      </c>
      <c r="G9">
        <v>3.4240154498219888</v>
      </c>
      <c r="H9">
        <v>-1.3818054190128619</v>
      </c>
      <c r="I9">
        <v>-1.383090934443822</v>
      </c>
    </row>
    <row r="10" spans="1:11" x14ac:dyDescent="0.2">
      <c r="A10" s="27" t="s">
        <v>4</v>
      </c>
      <c r="B10">
        <v>524</v>
      </c>
      <c r="C10">
        <v>3471.9</v>
      </c>
      <c r="D10">
        <v>7.8760537213900612</v>
      </c>
      <c r="E10">
        <v>3.7012999999999997E-2</v>
      </c>
      <c r="F10">
        <v>7.2817122528518924E-5</v>
      </c>
      <c r="G10">
        <v>3.5405672078426962</v>
      </c>
      <c r="H10">
        <v>-1.43164571277997</v>
      </c>
      <c r="I10">
        <v>-1.4337406728425159</v>
      </c>
    </row>
    <row r="11" spans="1:11" x14ac:dyDescent="0.2">
      <c r="A11" s="27" t="s">
        <v>4</v>
      </c>
      <c r="B11">
        <v>590</v>
      </c>
      <c r="C11">
        <v>4413.5</v>
      </c>
      <c r="D11">
        <v>4.8125992053266922</v>
      </c>
      <c r="E11">
        <v>3.3245999999999998E-2</v>
      </c>
      <c r="F11">
        <v>4.7215816559001928E-5</v>
      </c>
      <c r="G11">
        <v>3.6447831309233569</v>
      </c>
      <c r="H11">
        <v>-1.4782605994564519</v>
      </c>
      <c r="I11">
        <v>-1.4790296442887989</v>
      </c>
    </row>
    <row r="12" spans="1:11" x14ac:dyDescent="0.2">
      <c r="A12" s="27" t="s">
        <v>4</v>
      </c>
      <c r="B12">
        <v>656</v>
      </c>
      <c r="C12">
        <v>5462.5</v>
      </c>
      <c r="D12">
        <v>5.2983225857078793</v>
      </c>
      <c r="E12">
        <v>3.0091E-2</v>
      </c>
      <c r="F12">
        <v>1.7285189549952141E-5</v>
      </c>
      <c r="G12">
        <v>3.7373914499784782</v>
      </c>
      <c r="H12">
        <v>-1.521563379316567</v>
      </c>
      <c r="I12">
        <v>-1.5192743150972079</v>
      </c>
    </row>
    <row r="13" spans="1:11" x14ac:dyDescent="0.2">
      <c r="A13" s="27" t="s">
        <v>4</v>
      </c>
      <c r="B13">
        <v>666</v>
      </c>
      <c r="C13">
        <v>8615</v>
      </c>
      <c r="D13">
        <v>0</v>
      </c>
      <c r="E13">
        <v>2.3630000000000009E-2</v>
      </c>
      <c r="F13">
        <v>1.1564823173178709E-18</v>
      </c>
      <c r="G13">
        <v>3.9352552817840469</v>
      </c>
      <c r="H13">
        <v>-1.6265362783676309</v>
      </c>
      <c r="I13">
        <v>-1.6052597304157381</v>
      </c>
    </row>
    <row r="14" spans="1:11" x14ac:dyDescent="0.2">
      <c r="A14" s="27" t="s">
        <v>5</v>
      </c>
      <c r="B14">
        <v>65</v>
      </c>
      <c r="C14">
        <v>47.8</v>
      </c>
      <c r="D14">
        <v>1.481740718059525</v>
      </c>
      <c r="E14">
        <v>0.20963699999999999</v>
      </c>
      <c r="F14">
        <v>8.4001738143392648E-3</v>
      </c>
      <c r="G14">
        <v>1.679427896612119</v>
      </c>
      <c r="H14">
        <v>-0.67853206387484444</v>
      </c>
      <c r="I14">
        <v>-0.65745448535624873</v>
      </c>
    </row>
    <row r="15" spans="1:11" x14ac:dyDescent="0.2">
      <c r="A15" s="27" t="s">
        <v>5</v>
      </c>
      <c r="B15">
        <v>130</v>
      </c>
      <c r="C15">
        <v>201.9</v>
      </c>
      <c r="D15">
        <v>3.813572253587616</v>
      </c>
      <c r="E15">
        <v>0.12109300000000001</v>
      </c>
      <c r="F15">
        <v>3.5074850280824039E-3</v>
      </c>
      <c r="G15">
        <v>2.3051363189436391</v>
      </c>
      <c r="H15">
        <v>-0.91688096130979457</v>
      </c>
      <c r="I15">
        <v>-0.93221109867613228</v>
      </c>
    </row>
    <row r="16" spans="1:11" x14ac:dyDescent="0.2">
      <c r="A16" s="27" t="s">
        <v>5</v>
      </c>
      <c r="B16">
        <v>196</v>
      </c>
      <c r="C16">
        <v>453</v>
      </c>
      <c r="D16">
        <v>4.7539457296018854</v>
      </c>
      <c r="E16">
        <v>8.2914000000000015E-2</v>
      </c>
      <c r="F16">
        <v>1.122124176135005E-3</v>
      </c>
      <c r="G16">
        <v>2.6560982020128319</v>
      </c>
      <c r="H16">
        <v>-1.0813721327862229</v>
      </c>
      <c r="I16">
        <v>-1.086322974039972</v>
      </c>
    </row>
    <row r="17" spans="1:9" x14ac:dyDescent="0.2">
      <c r="A17" s="27" t="s">
        <v>5</v>
      </c>
      <c r="B17">
        <v>262</v>
      </c>
      <c r="C17">
        <v>828.6</v>
      </c>
      <c r="D17">
        <v>7.001904502823975</v>
      </c>
      <c r="E17">
        <v>6.3450999999999994E-2</v>
      </c>
      <c r="F17">
        <v>5.8089863334511436E-4</v>
      </c>
      <c r="G17">
        <v>2.9183449289622749</v>
      </c>
      <c r="H17">
        <v>-1.1975615289505279</v>
      </c>
      <c r="I17">
        <v>-1.201478883692531</v>
      </c>
    </row>
    <row r="18" spans="1:9" x14ac:dyDescent="0.2">
      <c r="A18" s="27" t="s">
        <v>5</v>
      </c>
      <c r="B18">
        <v>327</v>
      </c>
      <c r="C18">
        <v>1287.8</v>
      </c>
      <c r="D18">
        <v>4.2551929059287863</v>
      </c>
      <c r="E18">
        <v>5.297799999999999E-2</v>
      </c>
      <c r="F18">
        <v>4.0885694319651712E-4</v>
      </c>
      <c r="G18">
        <v>3.109848420756105</v>
      </c>
      <c r="H18">
        <v>-1.2759044410059239</v>
      </c>
      <c r="I18">
        <v>-1.285570529203939</v>
      </c>
    </row>
    <row r="19" spans="1:9" x14ac:dyDescent="0.2">
      <c r="A19" s="27" t="s">
        <v>5</v>
      </c>
      <c r="B19">
        <v>393</v>
      </c>
      <c r="C19">
        <v>1847</v>
      </c>
      <c r="D19">
        <v>6.2307481270086829</v>
      </c>
      <c r="E19">
        <v>4.4794E-2</v>
      </c>
      <c r="F19">
        <v>2.9242358925975057E-4</v>
      </c>
      <c r="G19">
        <v>3.2664668954402409</v>
      </c>
      <c r="H19">
        <v>-1.3487801543366851</v>
      </c>
      <c r="I19">
        <v>-1.3543437151668081</v>
      </c>
    </row>
    <row r="20" spans="1:9" x14ac:dyDescent="0.2">
      <c r="A20" s="27" t="s">
        <v>5</v>
      </c>
      <c r="B20">
        <v>458</v>
      </c>
      <c r="C20">
        <v>2522.6999999999998</v>
      </c>
      <c r="D20">
        <v>6.4412731660751668</v>
      </c>
      <c r="E20">
        <v>3.8827E-2</v>
      </c>
      <c r="F20">
        <v>1.6180269191552729E-4</v>
      </c>
      <c r="G20">
        <v>3.401865607199611</v>
      </c>
      <c r="H20">
        <v>-1.4108661642769911</v>
      </c>
      <c r="I20">
        <v>-1.413799030395358</v>
      </c>
    </row>
    <row r="21" spans="1:9" x14ac:dyDescent="0.2">
      <c r="A21" s="27" t="s">
        <v>5</v>
      </c>
      <c r="B21">
        <v>524</v>
      </c>
      <c r="C21">
        <v>3294.9</v>
      </c>
      <c r="D21">
        <v>4.3879886559156516</v>
      </c>
      <c r="E21">
        <v>3.4486999999999997E-2</v>
      </c>
      <c r="F21">
        <v>1.064273356698253E-4</v>
      </c>
      <c r="G21">
        <v>3.5178422383208559</v>
      </c>
      <c r="H21">
        <v>-1.4623445829626329</v>
      </c>
      <c r="I21">
        <v>-1.4647258602954349</v>
      </c>
    </row>
    <row r="22" spans="1:9" x14ac:dyDescent="0.2">
      <c r="A22" s="27" t="s">
        <v>5</v>
      </c>
      <c r="B22">
        <v>589</v>
      </c>
      <c r="C22">
        <v>4152.6000000000004</v>
      </c>
      <c r="D22">
        <v>5.2877216265609137</v>
      </c>
      <c r="E22">
        <v>3.0827E-2</v>
      </c>
      <c r="F22">
        <v>7.7374270773803059E-5</v>
      </c>
      <c r="G22">
        <v>3.6183200996244</v>
      </c>
      <c r="H22">
        <v>-1.511068737577747</v>
      </c>
      <c r="I22">
        <v>-1.508846981092431</v>
      </c>
    </row>
    <row r="23" spans="1:9" x14ac:dyDescent="0.2">
      <c r="A23" s="27" t="s">
        <v>5</v>
      </c>
      <c r="B23">
        <v>655</v>
      </c>
      <c r="C23">
        <v>5122</v>
      </c>
      <c r="D23">
        <v>3.245509718570156</v>
      </c>
      <c r="E23">
        <v>2.7997999999999999E-2</v>
      </c>
      <c r="F23">
        <v>6.9694571763756011E-5</v>
      </c>
      <c r="G23">
        <v>3.7094395741324111</v>
      </c>
      <c r="H23">
        <v>-1.5528729908001491</v>
      </c>
      <c r="I23">
        <v>-1.5488587139216301</v>
      </c>
    </row>
    <row r="24" spans="1:9" x14ac:dyDescent="0.2">
      <c r="A24" s="27" t="s">
        <v>5</v>
      </c>
      <c r="B24">
        <v>665</v>
      </c>
      <c r="C24">
        <v>8165</v>
      </c>
      <c r="D24">
        <v>0</v>
      </c>
      <c r="E24">
        <v>2.2120000000000001E-2</v>
      </c>
      <c r="F24">
        <v>0</v>
      </c>
      <c r="G24">
        <v>3.9119561890726868</v>
      </c>
      <c r="H24">
        <v>-1.655214877367339</v>
      </c>
      <c r="I24">
        <v>-1.637786363408368</v>
      </c>
    </row>
    <row r="25" spans="1:9" x14ac:dyDescent="0.2">
      <c r="A25" s="27" t="s">
        <v>6</v>
      </c>
      <c r="B25">
        <v>65</v>
      </c>
      <c r="C25">
        <v>50.3</v>
      </c>
      <c r="D25">
        <v>1.932471072084766</v>
      </c>
      <c r="E25">
        <v>0.22636899999999999</v>
      </c>
      <c r="F25">
        <v>9.6514480721231095E-3</v>
      </c>
      <c r="G25">
        <v>1.7015679850559271</v>
      </c>
      <c r="H25">
        <v>-0.64518304767258239</v>
      </c>
      <c r="I25">
        <v>-0.63426802337529631</v>
      </c>
    </row>
    <row r="26" spans="1:9" x14ac:dyDescent="0.2">
      <c r="A26" s="27" t="s">
        <v>6</v>
      </c>
      <c r="B26">
        <v>130</v>
      </c>
      <c r="C26">
        <v>206.7</v>
      </c>
      <c r="D26">
        <v>2.6459612829954851</v>
      </c>
      <c r="E26">
        <v>0.125886</v>
      </c>
      <c r="F26">
        <v>3.0218460877049621E-3</v>
      </c>
      <c r="G26">
        <v>2.3153404766272878</v>
      </c>
      <c r="H26">
        <v>-0.90002256584785312</v>
      </c>
      <c r="I26">
        <v>-0.90375366549658631</v>
      </c>
    </row>
    <row r="27" spans="1:9" x14ac:dyDescent="0.2">
      <c r="A27" s="27" t="s">
        <v>6</v>
      </c>
      <c r="B27">
        <v>196</v>
      </c>
      <c r="C27">
        <v>482.2</v>
      </c>
      <c r="D27">
        <v>4.5504578524217392</v>
      </c>
      <c r="E27">
        <v>8.7340000000000001E-2</v>
      </c>
      <c r="F27">
        <v>1.83016331997387E-3</v>
      </c>
      <c r="G27">
        <v>2.6832272060414351</v>
      </c>
      <c r="H27">
        <v>-1.0587868124146791</v>
      </c>
      <c r="I27">
        <v>-1.06527962644387</v>
      </c>
    </row>
    <row r="28" spans="1:9" x14ac:dyDescent="0.2">
      <c r="A28" s="27" t="s">
        <v>6</v>
      </c>
      <c r="B28">
        <v>262</v>
      </c>
      <c r="C28">
        <v>861.6</v>
      </c>
      <c r="D28">
        <v>7.7189521453512224</v>
      </c>
      <c r="E28">
        <v>6.6927E-2</v>
      </c>
      <c r="F28">
        <v>7.3840977783341984E-4</v>
      </c>
      <c r="G28">
        <v>2.9353056902899248</v>
      </c>
      <c r="H28">
        <v>-1.174398641792348</v>
      </c>
      <c r="I28">
        <v>-1.1759583113402059</v>
      </c>
    </row>
    <row r="29" spans="1:9" x14ac:dyDescent="0.2">
      <c r="A29" s="27" t="s">
        <v>6</v>
      </c>
      <c r="B29">
        <v>327</v>
      </c>
      <c r="C29">
        <v>1352.6</v>
      </c>
      <c r="D29">
        <v>6.8737827205177844</v>
      </c>
      <c r="E29">
        <v>5.5237000000000001E-2</v>
      </c>
      <c r="F29">
        <v>4.2723672855013559E-4</v>
      </c>
      <c r="G29">
        <v>3.1311693830893241</v>
      </c>
      <c r="H29">
        <v>-1.2577699166036489</v>
      </c>
      <c r="I29">
        <v>-1.26195508334796</v>
      </c>
    </row>
    <row r="30" spans="1:9" x14ac:dyDescent="0.2">
      <c r="A30" s="27" t="s">
        <v>6</v>
      </c>
      <c r="B30">
        <v>393</v>
      </c>
      <c r="C30">
        <v>1946</v>
      </c>
      <c r="D30">
        <v>11.99536947696439</v>
      </c>
      <c r="E30">
        <v>4.6784000000000013E-2</v>
      </c>
      <c r="F30">
        <v>2.1572204337990121E-4</v>
      </c>
      <c r="G30">
        <v>3.2891428359323331</v>
      </c>
      <c r="H30">
        <v>-1.329902649058252</v>
      </c>
      <c r="I30">
        <v>-1.3313156004159781</v>
      </c>
    </row>
    <row r="31" spans="1:9" x14ac:dyDescent="0.2">
      <c r="A31" s="27" t="s">
        <v>6</v>
      </c>
      <c r="B31">
        <v>458</v>
      </c>
      <c r="C31">
        <v>2656.6</v>
      </c>
      <c r="D31">
        <v>6.4069406809247793</v>
      </c>
      <c r="E31">
        <v>4.0791000000000001E-2</v>
      </c>
      <c r="F31">
        <v>1.67573864310638E-4</v>
      </c>
      <c r="G31">
        <v>3.4243261683092951</v>
      </c>
      <c r="H31">
        <v>-1.38943564773124</v>
      </c>
      <c r="I31">
        <v>-1.390669787235975</v>
      </c>
    </row>
    <row r="32" spans="1:9" x14ac:dyDescent="0.2">
      <c r="A32" s="27" t="s">
        <v>6</v>
      </c>
      <c r="B32">
        <v>524</v>
      </c>
      <c r="C32">
        <v>3494.5</v>
      </c>
      <c r="D32">
        <v>5.2667721508423817</v>
      </c>
      <c r="E32">
        <v>3.6569999999999998E-2</v>
      </c>
      <c r="F32">
        <v>8.2273257434532421E-5</v>
      </c>
      <c r="G32">
        <v>3.5433850448098432</v>
      </c>
      <c r="H32">
        <v>-1.4368750396619561</v>
      </c>
      <c r="I32">
        <v>-1.4429442997379081</v>
      </c>
    </row>
    <row r="33" spans="1:9" x14ac:dyDescent="0.2">
      <c r="A33" s="27" t="s">
        <v>6</v>
      </c>
      <c r="B33">
        <v>589</v>
      </c>
      <c r="C33">
        <v>4403.3</v>
      </c>
      <c r="D33">
        <v>3.2285187522040708</v>
      </c>
      <c r="E33">
        <v>3.2891999999999998E-2</v>
      </c>
      <c r="F33">
        <v>5.9363288318623168E-5</v>
      </c>
      <c r="G33">
        <v>3.6437782752633301</v>
      </c>
      <c r="H33">
        <v>-1.482909718412877</v>
      </c>
      <c r="I33">
        <v>-1.487023391819934</v>
      </c>
    </row>
    <row r="34" spans="1:9" x14ac:dyDescent="0.2">
      <c r="A34" s="27" t="s">
        <v>6</v>
      </c>
      <c r="B34">
        <v>655</v>
      </c>
      <c r="C34">
        <v>5438.6</v>
      </c>
      <c r="D34">
        <v>5.8938762947467591</v>
      </c>
      <c r="E34">
        <v>2.9750999999999989E-2</v>
      </c>
      <c r="F34">
        <v>5.8849148016111702E-5</v>
      </c>
      <c r="G34">
        <v>3.7354871183516791</v>
      </c>
      <c r="H34">
        <v>-1.526498432046927</v>
      </c>
      <c r="I34">
        <v>-1.527289478696183</v>
      </c>
    </row>
    <row r="35" spans="1:9" x14ac:dyDescent="0.2">
      <c r="A35" s="27" t="s">
        <v>6</v>
      </c>
      <c r="B35">
        <v>665</v>
      </c>
      <c r="C35">
        <v>8619</v>
      </c>
      <c r="D35">
        <v>0</v>
      </c>
      <c r="E35">
        <v>2.324E-2</v>
      </c>
      <c r="F35">
        <v>1.1564823173178709E-18</v>
      </c>
      <c r="G35">
        <v>3.9354568807116102</v>
      </c>
      <c r="H35">
        <v>-1.6337638762817071</v>
      </c>
      <c r="I35">
        <v>-1.6150890796141759</v>
      </c>
    </row>
    <row r="36" spans="1:9" x14ac:dyDescent="0.2">
      <c r="A36" s="27" t="s">
        <v>7</v>
      </c>
      <c r="B36">
        <v>65</v>
      </c>
      <c r="C36">
        <v>52.1</v>
      </c>
      <c r="D36">
        <v>1.303414319734477</v>
      </c>
      <c r="E36">
        <v>0.240152</v>
      </c>
      <c r="F36">
        <v>8.7450770659205108E-3</v>
      </c>
      <c r="G36">
        <v>1.716837723299524</v>
      </c>
      <c r="H36">
        <v>-0.61951379217993485</v>
      </c>
      <c r="I36">
        <v>-0.60123305459169774</v>
      </c>
    </row>
    <row r="37" spans="1:9" x14ac:dyDescent="0.2">
      <c r="A37" s="27" t="s">
        <v>7</v>
      </c>
      <c r="B37">
        <v>130</v>
      </c>
      <c r="C37">
        <v>209.8</v>
      </c>
      <c r="D37">
        <v>2.6364959911046908</v>
      </c>
      <c r="E37">
        <v>0.13777800000000001</v>
      </c>
      <c r="F37">
        <v>3.3789050823536831E-3</v>
      </c>
      <c r="G37">
        <v>2.3218054838575388</v>
      </c>
      <c r="H37">
        <v>-0.8608201238026838</v>
      </c>
      <c r="I37">
        <v>-0.86610594476926028</v>
      </c>
    </row>
    <row r="38" spans="1:9" x14ac:dyDescent="0.2">
      <c r="A38" s="27" t="s">
        <v>7</v>
      </c>
      <c r="B38">
        <v>196</v>
      </c>
      <c r="C38">
        <v>468.5</v>
      </c>
      <c r="D38">
        <v>5.497979426823802</v>
      </c>
      <c r="E38">
        <v>9.8486999999999991E-2</v>
      </c>
      <c r="F38">
        <v>1.65567646463781E-3</v>
      </c>
      <c r="G38">
        <v>2.6707095952237969</v>
      </c>
      <c r="H38">
        <v>-1.00662109133858</v>
      </c>
      <c r="I38">
        <v>-1.018866548552795</v>
      </c>
    </row>
    <row r="39" spans="1:9" x14ac:dyDescent="0.2">
      <c r="A39" s="27" t="s">
        <v>7</v>
      </c>
      <c r="B39">
        <v>262</v>
      </c>
      <c r="C39">
        <v>827.9</v>
      </c>
      <c r="D39">
        <v>7.2853734747551986</v>
      </c>
      <c r="E39">
        <v>7.5895999999999991E-2</v>
      </c>
      <c r="F39">
        <v>1.2227766217370469E-3</v>
      </c>
      <c r="G39">
        <v>2.9179778825929081</v>
      </c>
      <c r="H39">
        <v>-1.119781112427374</v>
      </c>
      <c r="I39">
        <v>-1.1271279637797831</v>
      </c>
    </row>
    <row r="40" spans="1:9" x14ac:dyDescent="0.2">
      <c r="A40" s="27" t="s">
        <v>7</v>
      </c>
      <c r="B40">
        <v>327</v>
      </c>
      <c r="C40">
        <v>1281.5999999999999</v>
      </c>
      <c r="D40">
        <v>8.6976369715508852</v>
      </c>
      <c r="E40">
        <v>6.2158999999999999E-2</v>
      </c>
      <c r="F40">
        <v>9.4199368952828475E-4</v>
      </c>
      <c r="G40">
        <v>3.107752498740163</v>
      </c>
      <c r="H40">
        <v>-1.2064959809828071</v>
      </c>
      <c r="I40">
        <v>-1.210216938661512</v>
      </c>
    </row>
    <row r="41" spans="1:9" x14ac:dyDescent="0.2">
      <c r="A41" s="27" t="s">
        <v>7</v>
      </c>
      <c r="B41">
        <v>393</v>
      </c>
      <c r="C41">
        <v>1852.8</v>
      </c>
      <c r="D41">
        <v>6.5959583584697272</v>
      </c>
      <c r="E41">
        <v>5.2861000000000012E-2</v>
      </c>
      <c r="F41">
        <v>4.718484926329638E-4</v>
      </c>
      <c r="G41">
        <v>3.2678285420473419</v>
      </c>
      <c r="H41">
        <v>-1.2768646253440361</v>
      </c>
      <c r="I41">
        <v>-1.280302994486789</v>
      </c>
    </row>
    <row r="42" spans="1:9" x14ac:dyDescent="0.2">
      <c r="A42" s="27" t="s">
        <v>7</v>
      </c>
      <c r="B42">
        <v>458</v>
      </c>
      <c r="C42">
        <v>2520.5</v>
      </c>
      <c r="D42">
        <v>6.5357988545140113</v>
      </c>
      <c r="E42">
        <v>4.6466E-2</v>
      </c>
      <c r="F42">
        <v>3.3239267273646157E-4</v>
      </c>
      <c r="G42">
        <v>3.4014867017741688</v>
      </c>
      <c r="H42">
        <v>-1.332864711913158</v>
      </c>
      <c r="I42">
        <v>-1.3388225146509769</v>
      </c>
    </row>
    <row r="43" spans="1:9" x14ac:dyDescent="0.2">
      <c r="A43" s="27" t="s">
        <v>7</v>
      </c>
      <c r="B43">
        <v>524</v>
      </c>
      <c r="C43">
        <v>3331.1</v>
      </c>
      <c r="D43">
        <v>13.673534859558281</v>
      </c>
      <c r="E43">
        <v>4.0835000000000003E-2</v>
      </c>
      <c r="F43">
        <v>1.570650962004112E-4</v>
      </c>
      <c r="G43">
        <v>3.5225876704565038</v>
      </c>
      <c r="H43">
        <v>-1.388967440075479</v>
      </c>
      <c r="I43">
        <v>-1.391844122858009</v>
      </c>
    </row>
    <row r="44" spans="1:9" x14ac:dyDescent="0.2">
      <c r="A44" s="27" t="s">
        <v>7</v>
      </c>
      <c r="B44">
        <v>589</v>
      </c>
      <c r="C44">
        <v>4192.1000000000004</v>
      </c>
      <c r="D44">
        <v>11.21749625461146</v>
      </c>
      <c r="E44">
        <v>3.6700999999999998E-2</v>
      </c>
      <c r="F44">
        <v>4.61266372789805E-5</v>
      </c>
      <c r="G44">
        <v>3.6224316339303919</v>
      </c>
      <c r="H44">
        <v>-1.43532210227202</v>
      </c>
      <c r="I44">
        <v>-1.4355587815494379</v>
      </c>
    </row>
    <row r="45" spans="1:9" x14ac:dyDescent="0.2">
      <c r="A45" s="27" t="s">
        <v>7</v>
      </c>
      <c r="B45">
        <v>655</v>
      </c>
      <c r="C45">
        <v>5196.1000000000004</v>
      </c>
      <c r="D45">
        <v>11.75438452474461</v>
      </c>
      <c r="E45">
        <v>3.3259999999999998E-2</v>
      </c>
      <c r="F45">
        <v>2.0275875100993919E-5</v>
      </c>
      <c r="G45">
        <v>3.715677500566942</v>
      </c>
      <c r="H45">
        <v>-1.4780777551165001</v>
      </c>
      <c r="I45">
        <v>-1.476384597077778</v>
      </c>
    </row>
    <row r="46" spans="1:9" x14ac:dyDescent="0.2">
      <c r="A46" s="27" t="s">
        <v>7</v>
      </c>
      <c r="B46">
        <v>665</v>
      </c>
      <c r="C46">
        <v>8269</v>
      </c>
      <c r="D46">
        <v>0</v>
      </c>
      <c r="E46">
        <v>2.5950000000000001E-2</v>
      </c>
      <c r="F46">
        <v>0</v>
      </c>
      <c r="G46">
        <v>3.9174529919296641</v>
      </c>
      <c r="H46">
        <v>-1.5858626378155229</v>
      </c>
      <c r="I46">
        <v>-1.564727912290055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56A98-F0FD-4ECE-85FB-F0A28ED9F179}">
  <dimension ref="A1:U46"/>
  <sheetViews>
    <sheetView zoomScale="150" zoomScaleNormal="150" workbookViewId="0">
      <selection activeCell="A2" sqref="A2"/>
    </sheetView>
  </sheetViews>
  <sheetFormatPr baseColWidth="10" defaultColWidth="8.83203125" defaultRowHeight="15" x14ac:dyDescent="0.2"/>
  <cols>
    <col min="2" max="2" width="13.6640625" customWidth="1"/>
    <col min="3" max="6" width="9" bestFit="1" customWidth="1"/>
    <col min="7" max="7" width="12.1640625" bestFit="1" customWidth="1"/>
    <col min="8" max="9" width="9" bestFit="1" customWidth="1"/>
    <col min="13" max="13" width="17.5" customWidth="1"/>
  </cols>
  <sheetData>
    <row r="1" spans="1:21" x14ac:dyDescent="0.2">
      <c r="A1" s="27"/>
      <c r="B1" s="27"/>
      <c r="C1" s="27"/>
      <c r="D1" s="27"/>
      <c r="E1" s="27"/>
      <c r="F1" s="27"/>
      <c r="G1" s="27"/>
      <c r="H1" s="27"/>
      <c r="I1" s="27"/>
    </row>
    <row r="2" spans="1:21" x14ac:dyDescent="0.2">
      <c r="A2" s="21" t="s">
        <v>25</v>
      </c>
      <c r="B2" s="28" t="s">
        <v>26</v>
      </c>
      <c r="C2" s="29" t="s">
        <v>27</v>
      </c>
      <c r="D2" s="29" t="s">
        <v>28</v>
      </c>
      <c r="E2" s="29" t="s">
        <v>29</v>
      </c>
      <c r="F2" s="29" t="s">
        <v>30</v>
      </c>
      <c r="G2" s="29" t="s">
        <v>31</v>
      </c>
      <c r="H2" s="29" t="s">
        <v>32</v>
      </c>
      <c r="I2" s="29" t="s">
        <v>33</v>
      </c>
      <c r="J2" s="1"/>
    </row>
    <row r="3" spans="1:21" x14ac:dyDescent="0.2">
      <c r="A3" s="27" t="s">
        <v>4</v>
      </c>
      <c r="B3">
        <v>65</v>
      </c>
      <c r="C3">
        <v>54.1</v>
      </c>
      <c r="D3">
        <v>2.1105554824368968</v>
      </c>
      <c r="E3">
        <v>0.21757000000000001</v>
      </c>
      <c r="F3">
        <v>4.4148104275394569E-3</v>
      </c>
      <c r="G3">
        <v>1.733197265106569</v>
      </c>
      <c r="H3">
        <v>-0.66240098826001137</v>
      </c>
      <c r="I3">
        <v>-0.6483143837514157</v>
      </c>
    </row>
    <row r="4" spans="1:21" x14ac:dyDescent="0.2">
      <c r="A4" s="27" t="s">
        <v>4</v>
      </c>
      <c r="B4">
        <v>131</v>
      </c>
      <c r="C4">
        <v>216.5</v>
      </c>
      <c r="D4">
        <v>2.486630920207769</v>
      </c>
      <c r="E4">
        <v>0.122269</v>
      </c>
      <c r="F4">
        <v>1.696034885647501E-3</v>
      </c>
      <c r="G4">
        <v>2.3354579006893839</v>
      </c>
      <c r="H4">
        <v>-0.91268363973813083</v>
      </c>
      <c r="I4">
        <v>-0.9100379661162683</v>
      </c>
    </row>
    <row r="5" spans="1:21" x14ac:dyDescent="0.2">
      <c r="A5" s="27" t="s">
        <v>4</v>
      </c>
      <c r="B5">
        <v>196</v>
      </c>
      <c r="C5">
        <v>475.2</v>
      </c>
      <c r="D5">
        <v>4.6804558182581601</v>
      </c>
      <c r="E5">
        <v>8.8970999999999995E-2</v>
      </c>
      <c r="F5">
        <v>1.258028837330669E-3</v>
      </c>
      <c r="G5">
        <v>2.6768764319731368</v>
      </c>
      <c r="H5">
        <v>-1.050751528100486</v>
      </c>
      <c r="I5">
        <v>-1.0584077512456891</v>
      </c>
    </row>
    <row r="6" spans="1:21" x14ac:dyDescent="0.2">
      <c r="A6" s="27" t="s">
        <v>4</v>
      </c>
      <c r="B6">
        <v>262</v>
      </c>
      <c r="C6">
        <v>867.1</v>
      </c>
      <c r="D6">
        <v>5.5486735151545714</v>
      </c>
      <c r="E6">
        <v>6.9492999999999999E-2</v>
      </c>
      <c r="F6">
        <v>7.1478831365190431E-4</v>
      </c>
      <c r="G6">
        <v>2.9380691862233861</v>
      </c>
      <c r="H6">
        <v>-1.1580589395031271</v>
      </c>
      <c r="I6">
        <v>-1.1719139299517971</v>
      </c>
    </row>
    <row r="7" spans="1:21" s="1" customFormat="1" x14ac:dyDescent="0.2">
      <c r="A7" s="27" t="s">
        <v>4</v>
      </c>
      <c r="B7">
        <v>328</v>
      </c>
      <c r="C7">
        <v>1347.8</v>
      </c>
      <c r="D7">
        <v>9.7431457388714495</v>
      </c>
      <c r="E7">
        <v>5.6467999999999997E-2</v>
      </c>
      <c r="F7">
        <v>3.919688196216065E-4</v>
      </c>
      <c r="G7">
        <v>3.129625452035683</v>
      </c>
      <c r="H7">
        <v>-1.2481975939586329</v>
      </c>
      <c r="I7">
        <v>-1.255158274925984</v>
      </c>
    </row>
    <row r="8" spans="1:21" x14ac:dyDescent="0.2">
      <c r="A8" s="27" t="s">
        <v>4</v>
      </c>
      <c r="B8">
        <v>393</v>
      </c>
      <c r="C8">
        <v>1958</v>
      </c>
      <c r="D8">
        <v>6.7214416443035319</v>
      </c>
      <c r="E8">
        <v>4.8088000000000013E-2</v>
      </c>
      <c r="F8">
        <v>1.7630655121123509E-4</v>
      </c>
      <c r="G8">
        <v>3.291812687467119</v>
      </c>
      <c r="H8">
        <v>-1.31796328503944</v>
      </c>
      <c r="I8">
        <v>-1.3256397604540711</v>
      </c>
    </row>
    <row r="9" spans="1:21" x14ac:dyDescent="0.2">
      <c r="A9" s="27" t="s">
        <v>4</v>
      </c>
      <c r="B9">
        <v>459</v>
      </c>
      <c r="C9">
        <v>2654.7</v>
      </c>
      <c r="D9">
        <v>7.4893257373411126</v>
      </c>
      <c r="E9">
        <v>4.1514000000000002E-2</v>
      </c>
      <c r="F9">
        <v>1.0577964517492631E-4</v>
      </c>
      <c r="G9">
        <v>3.4240154498219888</v>
      </c>
      <c r="H9">
        <v>-1.3818054190128619</v>
      </c>
      <c r="I9">
        <v>-1.383090934443822</v>
      </c>
    </row>
    <row r="10" spans="1:21" x14ac:dyDescent="0.2">
      <c r="A10" s="27" t="s">
        <v>4</v>
      </c>
      <c r="B10">
        <v>524</v>
      </c>
      <c r="C10">
        <v>3471.9</v>
      </c>
      <c r="D10">
        <v>7.8760537213900612</v>
      </c>
      <c r="E10">
        <v>3.7012999999999997E-2</v>
      </c>
      <c r="F10">
        <v>7.2817122528518924E-5</v>
      </c>
      <c r="G10">
        <v>3.5405672078426962</v>
      </c>
      <c r="H10">
        <v>-1.43164571277997</v>
      </c>
      <c r="I10">
        <v>-1.4337406728425159</v>
      </c>
      <c r="K10" s="1"/>
    </row>
    <row r="11" spans="1:21" x14ac:dyDescent="0.2">
      <c r="A11" s="27" t="s">
        <v>4</v>
      </c>
      <c r="B11">
        <v>590</v>
      </c>
      <c r="C11">
        <v>4413.5</v>
      </c>
      <c r="D11">
        <v>4.8125992053266922</v>
      </c>
      <c r="E11">
        <v>3.3245999999999998E-2</v>
      </c>
      <c r="F11">
        <v>4.7215816559001928E-5</v>
      </c>
      <c r="G11">
        <v>3.6447831309233569</v>
      </c>
      <c r="H11">
        <v>-1.4782605994564519</v>
      </c>
      <c r="I11">
        <v>-1.4790296442887989</v>
      </c>
      <c r="J11" s="1"/>
      <c r="K11" s="1"/>
      <c r="N11" s="1"/>
      <c r="O11" s="1"/>
      <c r="P11" s="1"/>
      <c r="Q11" s="1"/>
      <c r="R11" s="1"/>
      <c r="S11" s="1"/>
      <c r="T11" s="1"/>
      <c r="U11" s="1"/>
    </row>
    <row r="12" spans="1:21" x14ac:dyDescent="0.2">
      <c r="A12" s="27" t="s">
        <v>4</v>
      </c>
      <c r="B12">
        <v>656</v>
      </c>
      <c r="C12">
        <v>5462.5</v>
      </c>
      <c r="D12">
        <v>5.2983225857078793</v>
      </c>
      <c r="E12">
        <v>3.0091E-2</v>
      </c>
      <c r="F12">
        <v>1.7285189549952141E-5</v>
      </c>
      <c r="G12">
        <v>3.7373914499784782</v>
      </c>
      <c r="H12">
        <v>-1.521563379316567</v>
      </c>
      <c r="I12">
        <v>-1.5192743150972079</v>
      </c>
    </row>
    <row r="13" spans="1:21" x14ac:dyDescent="0.2">
      <c r="A13" s="27" t="s">
        <v>4</v>
      </c>
      <c r="B13">
        <v>666</v>
      </c>
      <c r="C13">
        <v>8615</v>
      </c>
      <c r="D13">
        <v>0</v>
      </c>
      <c r="E13">
        <v>2.3630000000000009E-2</v>
      </c>
      <c r="F13">
        <v>1.1564823173178709E-18</v>
      </c>
      <c r="G13">
        <v>3.9352552817840469</v>
      </c>
      <c r="H13">
        <v>-1.6265362783676309</v>
      </c>
      <c r="I13">
        <v>-1.6052597304157381</v>
      </c>
    </row>
    <row r="14" spans="1:21" x14ac:dyDescent="0.2">
      <c r="A14" s="27" t="s">
        <v>5</v>
      </c>
      <c r="B14">
        <v>65</v>
      </c>
      <c r="C14">
        <v>47.8</v>
      </c>
      <c r="D14">
        <v>1.481740718059525</v>
      </c>
      <c r="E14">
        <v>0.20963699999999999</v>
      </c>
      <c r="F14">
        <v>8.4001738143392648E-3</v>
      </c>
      <c r="G14">
        <v>1.679427896612119</v>
      </c>
      <c r="H14">
        <v>-0.67853206387484444</v>
      </c>
      <c r="I14">
        <v>-0.65745448535624873</v>
      </c>
      <c r="J14" s="1"/>
    </row>
    <row r="15" spans="1:21" x14ac:dyDescent="0.2">
      <c r="A15" s="27" t="s">
        <v>5</v>
      </c>
      <c r="B15">
        <v>130</v>
      </c>
      <c r="C15">
        <v>201.9</v>
      </c>
      <c r="D15">
        <v>3.813572253587616</v>
      </c>
      <c r="E15">
        <v>0.12109300000000001</v>
      </c>
      <c r="F15">
        <v>3.5074850280824039E-3</v>
      </c>
      <c r="G15">
        <v>2.3051363189436391</v>
      </c>
      <c r="H15">
        <v>-0.91688096130979457</v>
      </c>
      <c r="I15">
        <v>-0.93221109867613228</v>
      </c>
    </row>
    <row r="16" spans="1:21" x14ac:dyDescent="0.2">
      <c r="A16" s="27" t="s">
        <v>5</v>
      </c>
      <c r="B16">
        <v>196</v>
      </c>
      <c r="C16">
        <v>453</v>
      </c>
      <c r="D16">
        <v>4.7539457296018854</v>
      </c>
      <c r="E16">
        <v>8.2914000000000015E-2</v>
      </c>
      <c r="F16">
        <v>1.122124176135005E-3</v>
      </c>
      <c r="G16">
        <v>2.6560982020128319</v>
      </c>
      <c r="H16">
        <v>-1.0813721327862229</v>
      </c>
      <c r="I16">
        <v>-1.086322974039972</v>
      </c>
      <c r="J16" s="1"/>
      <c r="M16" s="4"/>
      <c r="N16" s="5"/>
      <c r="O16" s="5"/>
      <c r="P16" s="5"/>
      <c r="Q16" s="5"/>
      <c r="R16" s="5"/>
      <c r="S16" s="5"/>
      <c r="T16" s="5"/>
      <c r="U16" s="2"/>
    </row>
    <row r="17" spans="1:21" x14ac:dyDescent="0.2">
      <c r="A17" s="27" t="s">
        <v>5</v>
      </c>
      <c r="B17">
        <v>262</v>
      </c>
      <c r="C17">
        <v>828.6</v>
      </c>
      <c r="D17">
        <v>7.001904502823975</v>
      </c>
      <c r="E17">
        <v>6.3450999999999994E-2</v>
      </c>
      <c r="F17">
        <v>5.8089863334511436E-4</v>
      </c>
      <c r="G17">
        <v>2.9183449289622749</v>
      </c>
      <c r="H17">
        <v>-1.1975615289505279</v>
      </c>
      <c r="I17">
        <v>-1.201478883692531</v>
      </c>
      <c r="J17" s="1"/>
    </row>
    <row r="18" spans="1:21" x14ac:dyDescent="0.2">
      <c r="A18" s="27" t="s">
        <v>5</v>
      </c>
      <c r="B18">
        <v>327</v>
      </c>
      <c r="C18">
        <v>1287.8</v>
      </c>
      <c r="D18">
        <v>4.2551929059287863</v>
      </c>
      <c r="E18">
        <v>5.297799999999999E-2</v>
      </c>
      <c r="F18">
        <v>4.0885694319651712E-4</v>
      </c>
      <c r="G18">
        <v>3.109848420756105</v>
      </c>
      <c r="H18">
        <v>-1.2759044410059239</v>
      </c>
      <c r="I18">
        <v>-1.285570529203939</v>
      </c>
    </row>
    <row r="19" spans="1:21" x14ac:dyDescent="0.2">
      <c r="A19" s="27" t="s">
        <v>5</v>
      </c>
      <c r="B19">
        <v>393</v>
      </c>
      <c r="C19">
        <v>1847</v>
      </c>
      <c r="D19">
        <v>6.2307481270086829</v>
      </c>
      <c r="E19">
        <v>4.4794E-2</v>
      </c>
      <c r="F19">
        <v>2.9242358925975057E-4</v>
      </c>
      <c r="G19">
        <v>3.2664668954402409</v>
      </c>
      <c r="H19">
        <v>-1.3487801543366851</v>
      </c>
      <c r="I19">
        <v>-1.3543437151668081</v>
      </c>
    </row>
    <row r="20" spans="1:21" x14ac:dyDescent="0.2">
      <c r="A20" s="27" t="s">
        <v>5</v>
      </c>
      <c r="B20">
        <v>458</v>
      </c>
      <c r="C20">
        <v>2522.6999999999998</v>
      </c>
      <c r="D20">
        <v>6.4412731660751668</v>
      </c>
      <c r="E20">
        <v>3.8827E-2</v>
      </c>
      <c r="F20">
        <v>1.6180269191552729E-4</v>
      </c>
      <c r="G20">
        <v>3.401865607199611</v>
      </c>
      <c r="H20">
        <v>-1.4108661642769911</v>
      </c>
      <c r="I20">
        <v>-1.413799030395358</v>
      </c>
    </row>
    <row r="21" spans="1:21" x14ac:dyDescent="0.2">
      <c r="A21" s="27" t="s">
        <v>5</v>
      </c>
      <c r="B21">
        <v>524</v>
      </c>
      <c r="C21">
        <v>3294.9</v>
      </c>
      <c r="D21">
        <v>4.3879886559156516</v>
      </c>
      <c r="E21">
        <v>3.4486999999999997E-2</v>
      </c>
      <c r="F21">
        <v>1.064273356698253E-4</v>
      </c>
      <c r="G21">
        <v>3.5178422383208559</v>
      </c>
      <c r="H21">
        <v>-1.4623445829626329</v>
      </c>
      <c r="I21">
        <v>-1.4647258602954349</v>
      </c>
      <c r="J21" s="1"/>
      <c r="N21" s="1"/>
      <c r="O21" s="1"/>
      <c r="P21" s="1"/>
      <c r="Q21" s="1"/>
      <c r="R21" s="1"/>
      <c r="S21" s="1"/>
      <c r="T21" s="1"/>
      <c r="U21" s="1"/>
    </row>
    <row r="22" spans="1:21" x14ac:dyDescent="0.2">
      <c r="A22" s="27" t="s">
        <v>5</v>
      </c>
      <c r="B22">
        <v>589</v>
      </c>
      <c r="C22">
        <v>4152.6000000000004</v>
      </c>
      <c r="D22">
        <v>5.2877216265609137</v>
      </c>
      <c r="E22">
        <v>3.0827E-2</v>
      </c>
      <c r="F22">
        <v>7.7374270773803059E-5</v>
      </c>
      <c r="G22">
        <v>3.6183200996244</v>
      </c>
      <c r="H22">
        <v>-1.511068737577747</v>
      </c>
      <c r="I22">
        <v>-1.508846981092431</v>
      </c>
    </row>
    <row r="23" spans="1:21" x14ac:dyDescent="0.2">
      <c r="A23" s="27" t="s">
        <v>5</v>
      </c>
      <c r="B23">
        <v>655</v>
      </c>
      <c r="C23">
        <v>5122</v>
      </c>
      <c r="D23">
        <v>3.245509718570156</v>
      </c>
      <c r="E23">
        <v>2.7997999999999999E-2</v>
      </c>
      <c r="F23">
        <v>6.9694571763756011E-5</v>
      </c>
      <c r="G23">
        <v>3.7094395741324111</v>
      </c>
      <c r="H23">
        <v>-1.5528729908001491</v>
      </c>
      <c r="I23">
        <v>-1.5488587139216301</v>
      </c>
    </row>
    <row r="24" spans="1:21" x14ac:dyDescent="0.2">
      <c r="A24" s="27" t="s">
        <v>5</v>
      </c>
      <c r="B24">
        <v>665</v>
      </c>
      <c r="C24">
        <v>8165</v>
      </c>
      <c r="D24">
        <v>0</v>
      </c>
      <c r="E24">
        <v>2.2120000000000001E-2</v>
      </c>
      <c r="F24">
        <v>0</v>
      </c>
      <c r="G24">
        <v>3.9119561890726868</v>
      </c>
      <c r="H24">
        <v>-1.655214877367339</v>
      </c>
      <c r="I24">
        <v>-1.637786363408368</v>
      </c>
    </row>
    <row r="25" spans="1:21" x14ac:dyDescent="0.2">
      <c r="A25" s="27" t="s">
        <v>6</v>
      </c>
      <c r="B25">
        <v>65</v>
      </c>
      <c r="C25">
        <v>50.3</v>
      </c>
      <c r="D25">
        <v>1.932471072084766</v>
      </c>
      <c r="E25">
        <v>0.22636899999999999</v>
      </c>
      <c r="F25">
        <v>9.6514480721231095E-3</v>
      </c>
      <c r="G25">
        <v>1.7015679850559271</v>
      </c>
      <c r="H25">
        <v>-0.64518304767258239</v>
      </c>
      <c r="I25">
        <v>-0.63426802337529631</v>
      </c>
    </row>
    <row r="26" spans="1:21" x14ac:dyDescent="0.2">
      <c r="A26" s="27" t="s">
        <v>6</v>
      </c>
      <c r="B26">
        <v>130</v>
      </c>
      <c r="C26">
        <v>206.7</v>
      </c>
      <c r="D26">
        <v>2.6459612829954851</v>
      </c>
      <c r="E26">
        <v>0.125886</v>
      </c>
      <c r="F26">
        <v>3.0218460877049621E-3</v>
      </c>
      <c r="G26">
        <v>2.3153404766272878</v>
      </c>
      <c r="H26">
        <v>-0.90002256584785312</v>
      </c>
      <c r="I26">
        <v>-0.90375366549658631</v>
      </c>
      <c r="M26" s="19"/>
      <c r="N26" s="19"/>
      <c r="O26" s="19"/>
      <c r="P26" s="19"/>
      <c r="Q26" s="19"/>
      <c r="R26" s="19"/>
      <c r="S26" s="19"/>
      <c r="T26" s="19"/>
    </row>
    <row r="27" spans="1:21" x14ac:dyDescent="0.2">
      <c r="A27" s="27" t="s">
        <v>6</v>
      </c>
      <c r="B27">
        <v>196</v>
      </c>
      <c r="C27">
        <v>482.2</v>
      </c>
      <c r="D27">
        <v>4.5504578524217392</v>
      </c>
      <c r="E27">
        <v>8.7340000000000001E-2</v>
      </c>
      <c r="F27">
        <v>1.83016331997387E-3</v>
      </c>
      <c r="G27">
        <v>2.6832272060414351</v>
      </c>
      <c r="H27">
        <v>-1.0587868124146791</v>
      </c>
      <c r="I27">
        <v>-1.06527962644387</v>
      </c>
      <c r="J27" s="2"/>
      <c r="N27" s="5"/>
      <c r="O27" s="5"/>
      <c r="P27" s="5"/>
      <c r="Q27" s="5"/>
      <c r="R27" s="5"/>
      <c r="S27" s="5"/>
      <c r="T27" s="5"/>
      <c r="U27" s="2"/>
    </row>
    <row r="28" spans="1:21" x14ac:dyDescent="0.2">
      <c r="A28" s="27" t="s">
        <v>6</v>
      </c>
      <c r="B28">
        <v>262</v>
      </c>
      <c r="C28">
        <v>861.6</v>
      </c>
      <c r="D28">
        <v>7.7189521453512224</v>
      </c>
      <c r="E28">
        <v>6.6927E-2</v>
      </c>
      <c r="F28">
        <v>7.3840977783341984E-4</v>
      </c>
      <c r="G28">
        <v>2.9353056902899248</v>
      </c>
      <c r="H28">
        <v>-1.174398641792348</v>
      </c>
      <c r="I28">
        <v>-1.1759583113402059</v>
      </c>
    </row>
    <row r="29" spans="1:21" x14ac:dyDescent="0.2">
      <c r="A29" s="27" t="s">
        <v>6</v>
      </c>
      <c r="B29">
        <v>327</v>
      </c>
      <c r="C29">
        <v>1352.6</v>
      </c>
      <c r="D29">
        <v>6.8737827205177844</v>
      </c>
      <c r="E29">
        <v>5.5237000000000001E-2</v>
      </c>
      <c r="F29">
        <v>4.2723672855013559E-4</v>
      </c>
      <c r="G29">
        <v>3.1311693830893241</v>
      </c>
      <c r="H29">
        <v>-1.2577699166036489</v>
      </c>
      <c r="I29">
        <v>-1.26195508334796</v>
      </c>
    </row>
    <row r="30" spans="1:21" x14ac:dyDescent="0.2">
      <c r="A30" s="27" t="s">
        <v>6</v>
      </c>
      <c r="B30">
        <v>393</v>
      </c>
      <c r="C30">
        <v>1946</v>
      </c>
      <c r="D30">
        <v>11.99536947696439</v>
      </c>
      <c r="E30">
        <v>4.6784000000000013E-2</v>
      </c>
      <c r="F30">
        <v>2.1572204337990121E-4</v>
      </c>
      <c r="G30">
        <v>3.2891428359323331</v>
      </c>
      <c r="H30">
        <v>-1.329902649058252</v>
      </c>
      <c r="I30">
        <v>-1.3313156004159781</v>
      </c>
    </row>
    <row r="31" spans="1:21" x14ac:dyDescent="0.2">
      <c r="A31" s="27" t="s">
        <v>6</v>
      </c>
      <c r="B31">
        <v>458</v>
      </c>
      <c r="C31">
        <v>2656.6</v>
      </c>
      <c r="D31">
        <v>6.4069406809247793</v>
      </c>
      <c r="E31">
        <v>4.0791000000000001E-2</v>
      </c>
      <c r="F31">
        <v>1.67573864310638E-4</v>
      </c>
      <c r="G31">
        <v>3.4243261683092951</v>
      </c>
      <c r="H31">
        <v>-1.38943564773124</v>
      </c>
      <c r="I31">
        <v>-1.390669787235975</v>
      </c>
    </row>
    <row r="32" spans="1:21" x14ac:dyDescent="0.2">
      <c r="A32" s="27" t="s">
        <v>6</v>
      </c>
      <c r="B32">
        <v>524</v>
      </c>
      <c r="C32">
        <v>3494.5</v>
      </c>
      <c r="D32">
        <v>5.2667721508423817</v>
      </c>
      <c r="E32">
        <v>3.6569999999999998E-2</v>
      </c>
      <c r="F32">
        <v>8.2273257434532421E-5</v>
      </c>
      <c r="G32">
        <v>3.5433850448098432</v>
      </c>
      <c r="H32">
        <v>-1.4368750396619561</v>
      </c>
      <c r="I32">
        <v>-1.4429442997379081</v>
      </c>
    </row>
    <row r="33" spans="1:9" x14ac:dyDescent="0.2">
      <c r="A33" s="27" t="s">
        <v>6</v>
      </c>
      <c r="B33">
        <v>589</v>
      </c>
      <c r="C33">
        <v>4403.3</v>
      </c>
      <c r="D33">
        <v>3.2285187522040708</v>
      </c>
      <c r="E33">
        <v>3.2891999999999998E-2</v>
      </c>
      <c r="F33">
        <v>5.9363288318623168E-5</v>
      </c>
      <c r="G33">
        <v>3.6437782752633301</v>
      </c>
      <c r="H33">
        <v>-1.482909718412877</v>
      </c>
      <c r="I33">
        <v>-1.487023391819934</v>
      </c>
    </row>
    <row r="34" spans="1:9" x14ac:dyDescent="0.2">
      <c r="A34" s="27" t="s">
        <v>6</v>
      </c>
      <c r="B34">
        <v>655</v>
      </c>
      <c r="C34">
        <v>5438.6</v>
      </c>
      <c r="D34">
        <v>5.8938762947467591</v>
      </c>
      <c r="E34">
        <v>2.9750999999999989E-2</v>
      </c>
      <c r="F34">
        <v>5.8849148016111702E-5</v>
      </c>
      <c r="G34">
        <v>3.7354871183516791</v>
      </c>
      <c r="H34">
        <v>-1.526498432046927</v>
      </c>
      <c r="I34">
        <v>-1.527289478696183</v>
      </c>
    </row>
    <row r="35" spans="1:9" x14ac:dyDescent="0.2">
      <c r="A35" s="27" t="s">
        <v>6</v>
      </c>
      <c r="B35">
        <v>665</v>
      </c>
      <c r="C35">
        <v>8619</v>
      </c>
      <c r="D35">
        <v>0</v>
      </c>
      <c r="E35">
        <v>2.324E-2</v>
      </c>
      <c r="F35">
        <v>1.1564823173178709E-18</v>
      </c>
      <c r="G35">
        <v>3.9354568807116102</v>
      </c>
      <c r="H35">
        <v>-1.6337638762817071</v>
      </c>
      <c r="I35">
        <v>-1.6150890796141759</v>
      </c>
    </row>
    <row r="36" spans="1:9" x14ac:dyDescent="0.2">
      <c r="A36" s="27" t="s">
        <v>7</v>
      </c>
      <c r="B36" s="22">
        <v>65</v>
      </c>
      <c r="C36" s="22">
        <v>52.1</v>
      </c>
      <c r="D36" s="22">
        <v>1.3034140000000001</v>
      </c>
      <c r="E36" s="22">
        <v>0.240152</v>
      </c>
      <c r="F36" s="22">
        <v>8.7449999999999993E-3</v>
      </c>
      <c r="G36" s="22">
        <v>1.7168380000000001</v>
      </c>
      <c r="H36" s="22">
        <v>-0.61951000000000001</v>
      </c>
      <c r="I36" s="22">
        <v>-0.60123000000000004</v>
      </c>
    </row>
    <row r="37" spans="1:9" x14ac:dyDescent="0.2">
      <c r="A37" s="27" t="s">
        <v>7</v>
      </c>
      <c r="B37" s="22">
        <v>130</v>
      </c>
      <c r="C37" s="22">
        <v>209.8</v>
      </c>
      <c r="D37" s="22">
        <v>2.6364960000000002</v>
      </c>
      <c r="E37" s="22">
        <v>0.13777800000000001</v>
      </c>
      <c r="F37" s="22">
        <v>3.3790000000000001E-3</v>
      </c>
      <c r="G37" s="22">
        <v>2.3218049999999999</v>
      </c>
      <c r="H37" s="22">
        <v>-0.86082000000000003</v>
      </c>
      <c r="I37" s="22">
        <v>-0.86611000000000005</v>
      </c>
    </row>
    <row r="38" spans="1:9" x14ac:dyDescent="0.2">
      <c r="A38" s="27" t="s">
        <v>7</v>
      </c>
      <c r="B38" s="22">
        <v>196</v>
      </c>
      <c r="C38" s="22">
        <v>468.5</v>
      </c>
      <c r="D38" s="22">
        <v>5.4979789999999999</v>
      </c>
      <c r="E38" s="22">
        <v>9.8487000000000005E-2</v>
      </c>
      <c r="F38" s="22">
        <v>1.6559999999999999E-3</v>
      </c>
      <c r="G38" s="22">
        <v>2.6707100000000001</v>
      </c>
      <c r="H38" s="22">
        <v>-1.0066200000000001</v>
      </c>
      <c r="I38" s="22">
        <v>-1.0188699999999999</v>
      </c>
    </row>
    <row r="39" spans="1:9" x14ac:dyDescent="0.2">
      <c r="A39" s="27" t="s">
        <v>7</v>
      </c>
      <c r="B39" s="22">
        <v>262</v>
      </c>
      <c r="C39" s="22">
        <v>827.9</v>
      </c>
      <c r="D39" s="22">
        <v>7.2853729999999999</v>
      </c>
      <c r="E39" s="22">
        <v>7.5896000000000005E-2</v>
      </c>
      <c r="F39" s="22">
        <v>1.2229999999999999E-3</v>
      </c>
      <c r="G39" s="22">
        <v>2.9179780000000002</v>
      </c>
      <c r="H39" s="22">
        <v>-1.11978</v>
      </c>
      <c r="I39" s="22">
        <v>-1.12713</v>
      </c>
    </row>
    <row r="40" spans="1:9" x14ac:dyDescent="0.2">
      <c r="A40" s="27" t="s">
        <v>7</v>
      </c>
      <c r="B40" s="22">
        <v>327</v>
      </c>
      <c r="C40" s="22">
        <v>1281.5999999999999</v>
      </c>
      <c r="D40" s="22">
        <v>8.6976370000000003</v>
      </c>
      <c r="E40" s="22">
        <v>6.2158999999999999E-2</v>
      </c>
      <c r="F40" s="22">
        <v>9.4200000000000002E-4</v>
      </c>
      <c r="G40" s="22">
        <v>3.1077520000000001</v>
      </c>
      <c r="H40" s="22">
        <v>-1.2064999999999999</v>
      </c>
      <c r="I40" s="22">
        <v>-1.2102200000000001</v>
      </c>
    </row>
    <row r="41" spans="1:9" x14ac:dyDescent="0.2">
      <c r="A41" s="27" t="s">
        <v>7</v>
      </c>
      <c r="B41" s="22">
        <v>393</v>
      </c>
      <c r="C41" s="22">
        <v>1852.8</v>
      </c>
      <c r="D41" s="22">
        <v>6.5959580000000004</v>
      </c>
      <c r="E41" s="22">
        <v>5.2860999999999998E-2</v>
      </c>
      <c r="F41" s="22">
        <v>4.7199999999999998E-4</v>
      </c>
      <c r="G41" s="22">
        <v>3.2678289999999999</v>
      </c>
      <c r="H41" s="22">
        <v>-1.2768600000000001</v>
      </c>
      <c r="I41" s="22">
        <v>-1.2803</v>
      </c>
    </row>
    <row r="42" spans="1:9" x14ac:dyDescent="0.2">
      <c r="A42" s="27" t="s">
        <v>7</v>
      </c>
      <c r="B42" s="22">
        <v>458</v>
      </c>
      <c r="C42" s="22">
        <v>2520.5</v>
      </c>
      <c r="D42" s="22">
        <v>6.5357989999999999</v>
      </c>
      <c r="E42" s="22">
        <v>4.6466E-2</v>
      </c>
      <c r="F42" s="22">
        <v>3.3199999999999999E-4</v>
      </c>
      <c r="G42" s="22">
        <v>3.4014869999999999</v>
      </c>
      <c r="H42" s="22">
        <v>-1.3328599999999999</v>
      </c>
      <c r="I42" s="22">
        <v>-1.3388199999999999</v>
      </c>
    </row>
    <row r="43" spans="1:9" x14ac:dyDescent="0.2">
      <c r="A43" s="27" t="s">
        <v>7</v>
      </c>
      <c r="B43" s="22">
        <v>524</v>
      </c>
      <c r="C43" s="22">
        <v>3331.1</v>
      </c>
      <c r="D43" s="22">
        <v>13.67353</v>
      </c>
      <c r="E43" s="22">
        <v>4.0835000000000003E-2</v>
      </c>
      <c r="F43" s="22">
        <v>1.5699999999999999E-4</v>
      </c>
      <c r="G43" s="22">
        <v>3.5225879999999998</v>
      </c>
      <c r="H43" s="22">
        <v>-1.38897</v>
      </c>
      <c r="I43" s="22">
        <v>-1.39184</v>
      </c>
    </row>
    <row r="44" spans="1:9" x14ac:dyDescent="0.2">
      <c r="A44" s="27" t="s">
        <v>7</v>
      </c>
      <c r="B44" s="22">
        <v>589</v>
      </c>
      <c r="C44" s="22">
        <v>4192.1000000000004</v>
      </c>
      <c r="D44" s="22">
        <v>11.217499999999999</v>
      </c>
      <c r="E44" s="22">
        <v>3.6700999999999998E-2</v>
      </c>
      <c r="F44" s="22">
        <v>4.6100000000000002E-5</v>
      </c>
      <c r="G44" s="22">
        <v>3.6224319999999999</v>
      </c>
      <c r="H44" s="22">
        <v>-1.4353199999999999</v>
      </c>
      <c r="I44" s="22">
        <v>-1.4355599999999999</v>
      </c>
    </row>
    <row r="45" spans="1:9" x14ac:dyDescent="0.2">
      <c r="A45" s="27" t="s">
        <v>7</v>
      </c>
      <c r="B45" s="22">
        <v>655</v>
      </c>
      <c r="C45" s="22">
        <v>5196.1000000000004</v>
      </c>
      <c r="D45" s="22">
        <v>11.754379999999999</v>
      </c>
      <c r="E45" s="22">
        <v>3.3259999999999998E-2</v>
      </c>
      <c r="F45" s="22">
        <v>2.0299999999999999E-5</v>
      </c>
      <c r="G45" s="22">
        <v>3.715678</v>
      </c>
      <c r="H45" s="22">
        <v>-1.4780800000000001</v>
      </c>
      <c r="I45" s="22">
        <v>-1.47638</v>
      </c>
    </row>
    <row r="46" spans="1:9" x14ac:dyDescent="0.2">
      <c r="A46" s="27" t="s">
        <v>7</v>
      </c>
      <c r="B46" s="22">
        <v>665</v>
      </c>
      <c r="C46" s="22">
        <v>8269</v>
      </c>
      <c r="D46" s="22">
        <v>0</v>
      </c>
      <c r="E46" s="22">
        <v>2.5950000000000001E-2</v>
      </c>
      <c r="F46" s="22">
        <v>0</v>
      </c>
      <c r="G46" s="22">
        <v>3.9174530000000001</v>
      </c>
      <c r="H46" s="22">
        <v>-1.58586</v>
      </c>
      <c r="I46" s="22">
        <v>-1.56473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D8F90-1399-4559-8642-02E0AC650D8E}">
  <dimension ref="A1:AC46"/>
  <sheetViews>
    <sheetView zoomScale="150" zoomScaleNormal="150" workbookViewId="0">
      <selection sqref="A1:A1048576"/>
    </sheetView>
  </sheetViews>
  <sheetFormatPr baseColWidth="10" defaultColWidth="8.83203125" defaultRowHeight="15" x14ac:dyDescent="0.2"/>
  <cols>
    <col min="1" max="1" width="11.6640625" customWidth="1"/>
    <col min="2" max="2" width="10.1640625" style="6" customWidth="1"/>
    <col min="3" max="3" width="10.83203125" style="6" customWidth="1"/>
    <col min="4" max="5" width="10.5" style="6" customWidth="1"/>
    <col min="6" max="13" width="9.5" style="7" customWidth="1"/>
    <col min="14" max="17" width="9.1640625" style="8"/>
    <col min="18" max="21" width="9.1640625" style="9"/>
    <col min="22" max="25" width="9.5" style="7" customWidth="1"/>
    <col min="26" max="29" width="9.1640625" style="10"/>
  </cols>
  <sheetData>
    <row r="1" spans="1:29" x14ac:dyDescent="0.2">
      <c r="A1" s="27"/>
      <c r="B1" s="27"/>
      <c r="C1" s="27"/>
      <c r="D1" s="27"/>
      <c r="E1" s="27"/>
      <c r="F1" s="27"/>
      <c r="G1" s="27"/>
      <c r="H1" s="27"/>
      <c r="I1" s="27"/>
    </row>
    <row r="2" spans="1:29" x14ac:dyDescent="0.2">
      <c r="A2" s="21" t="s">
        <v>25</v>
      </c>
      <c r="B2" s="28" t="s">
        <v>26</v>
      </c>
      <c r="C2" s="29" t="s">
        <v>27</v>
      </c>
      <c r="D2" s="29" t="s">
        <v>28</v>
      </c>
      <c r="E2" s="29" t="s">
        <v>29</v>
      </c>
      <c r="F2" s="29" t="s">
        <v>30</v>
      </c>
      <c r="G2" s="29" t="s">
        <v>31</v>
      </c>
      <c r="H2" s="29" t="s">
        <v>32</v>
      </c>
      <c r="I2" s="29" t="s">
        <v>33</v>
      </c>
      <c r="J2" s="14"/>
      <c r="K2" s="14"/>
      <c r="L2" s="14"/>
      <c r="M2" s="14"/>
      <c r="V2" s="16"/>
      <c r="W2" s="16"/>
      <c r="X2" s="16"/>
      <c r="Y2" s="16"/>
    </row>
    <row r="3" spans="1:29" s="1" customFormat="1" x14ac:dyDescent="0.2">
      <c r="A3" s="27" t="s">
        <v>4</v>
      </c>
      <c r="B3">
        <v>65</v>
      </c>
      <c r="C3">
        <v>54.1</v>
      </c>
      <c r="D3">
        <v>2.1105554824368968</v>
      </c>
      <c r="E3">
        <v>0.21757000000000001</v>
      </c>
      <c r="F3">
        <v>4.4148104275394569E-3</v>
      </c>
      <c r="G3">
        <v>1.733197265106569</v>
      </c>
      <c r="H3">
        <v>-0.66240098826001137</v>
      </c>
      <c r="I3">
        <v>-0.6483143837514157</v>
      </c>
      <c r="J3" s="15"/>
      <c r="K3" s="15"/>
      <c r="L3" s="15"/>
      <c r="M3" s="15"/>
      <c r="N3" s="3"/>
      <c r="O3" s="3"/>
      <c r="P3" s="3"/>
      <c r="Q3" s="3"/>
      <c r="R3" s="18"/>
      <c r="S3" s="18"/>
      <c r="T3" s="18"/>
      <c r="U3" s="18"/>
      <c r="V3" s="17"/>
      <c r="W3" s="17"/>
      <c r="X3" s="17"/>
      <c r="Y3" s="17"/>
      <c r="Z3" s="13"/>
      <c r="AA3" s="13"/>
      <c r="AB3" s="13"/>
      <c r="AC3" s="13"/>
    </row>
    <row r="4" spans="1:29" x14ac:dyDescent="0.2">
      <c r="A4" s="27" t="s">
        <v>4</v>
      </c>
      <c r="B4">
        <v>131</v>
      </c>
      <c r="C4">
        <v>216.5</v>
      </c>
      <c r="D4">
        <v>2.486630920207769</v>
      </c>
      <c r="E4">
        <v>0.122269</v>
      </c>
      <c r="F4">
        <v>1.696034885647501E-3</v>
      </c>
      <c r="G4">
        <v>2.3354579006893839</v>
      </c>
      <c r="H4">
        <v>-0.91268363973813083</v>
      </c>
      <c r="I4">
        <v>-0.9100379661162683</v>
      </c>
      <c r="J4" s="14"/>
      <c r="K4" s="14"/>
      <c r="L4" s="14"/>
      <c r="M4" s="14"/>
      <c r="V4" s="16"/>
      <c r="W4" s="16"/>
      <c r="X4" s="16"/>
      <c r="Y4" s="16"/>
    </row>
    <row r="5" spans="1:29" x14ac:dyDescent="0.2">
      <c r="A5" s="27" t="s">
        <v>4</v>
      </c>
      <c r="B5">
        <v>196</v>
      </c>
      <c r="C5">
        <v>475.2</v>
      </c>
      <c r="D5">
        <v>4.6804558182581601</v>
      </c>
      <c r="E5">
        <v>8.8970999999999995E-2</v>
      </c>
      <c r="F5">
        <v>1.258028837330669E-3</v>
      </c>
      <c r="G5">
        <v>2.6768764319731368</v>
      </c>
      <c r="H5">
        <v>-1.050751528100486</v>
      </c>
      <c r="I5">
        <v>-1.0584077512456891</v>
      </c>
      <c r="J5" s="14"/>
      <c r="K5" s="14"/>
      <c r="L5" s="14"/>
      <c r="M5" s="14"/>
      <c r="V5" s="16"/>
      <c r="W5" s="16"/>
      <c r="X5" s="16"/>
      <c r="Y5" s="16"/>
    </row>
    <row r="6" spans="1:29" x14ac:dyDescent="0.2">
      <c r="A6" s="27" t="s">
        <v>4</v>
      </c>
      <c r="B6">
        <v>262</v>
      </c>
      <c r="C6">
        <v>867.1</v>
      </c>
      <c r="D6">
        <v>5.5486735151545714</v>
      </c>
      <c r="E6">
        <v>6.9492999999999999E-2</v>
      </c>
      <c r="F6">
        <v>7.1478831365190431E-4</v>
      </c>
      <c r="G6">
        <v>2.9380691862233861</v>
      </c>
      <c r="H6">
        <v>-1.1580589395031271</v>
      </c>
      <c r="I6">
        <v>-1.1719139299517971</v>
      </c>
      <c r="J6" s="14"/>
      <c r="K6" s="14"/>
      <c r="L6" s="14"/>
      <c r="M6" s="14"/>
      <c r="V6" s="16"/>
      <c r="W6" s="16"/>
      <c r="X6" s="16"/>
      <c r="Y6" s="16"/>
    </row>
    <row r="7" spans="1:29" x14ac:dyDescent="0.2">
      <c r="A7" s="27" t="s">
        <v>4</v>
      </c>
      <c r="B7">
        <v>328</v>
      </c>
      <c r="C7">
        <v>1347.8</v>
      </c>
      <c r="D7">
        <v>9.7431457388714495</v>
      </c>
      <c r="E7">
        <v>5.6467999999999997E-2</v>
      </c>
      <c r="F7">
        <v>3.919688196216065E-4</v>
      </c>
      <c r="G7">
        <v>3.129625452035683</v>
      </c>
      <c r="H7">
        <v>-1.2481975939586329</v>
      </c>
      <c r="I7">
        <v>-1.255158274925984</v>
      </c>
      <c r="J7" s="14"/>
      <c r="K7" s="14"/>
      <c r="L7" s="14"/>
      <c r="M7" s="14"/>
      <c r="V7" s="16"/>
      <c r="W7" s="16"/>
      <c r="X7" s="16"/>
      <c r="Y7" s="16"/>
    </row>
    <row r="8" spans="1:29" s="1" customFormat="1" x14ac:dyDescent="0.2">
      <c r="A8" s="27" t="s">
        <v>4</v>
      </c>
      <c r="B8">
        <v>393</v>
      </c>
      <c r="C8">
        <v>1958</v>
      </c>
      <c r="D8">
        <v>6.7214416443035319</v>
      </c>
      <c r="E8">
        <v>4.8088000000000013E-2</v>
      </c>
      <c r="F8">
        <v>1.7630655121123509E-4</v>
      </c>
      <c r="G8">
        <v>3.291812687467119</v>
      </c>
      <c r="H8">
        <v>-1.31796328503944</v>
      </c>
      <c r="I8">
        <v>-1.3256397604540711</v>
      </c>
      <c r="J8" s="15"/>
      <c r="K8" s="15"/>
      <c r="L8" s="15"/>
      <c r="M8" s="15"/>
      <c r="N8" s="11"/>
      <c r="O8" s="11"/>
      <c r="P8" s="11"/>
      <c r="Q8" s="11"/>
      <c r="R8" s="12"/>
      <c r="S8" s="12"/>
      <c r="T8" s="12"/>
      <c r="U8" s="12"/>
      <c r="V8" s="17"/>
      <c r="W8" s="17"/>
      <c r="X8" s="17"/>
      <c r="Y8" s="17"/>
      <c r="Z8" s="13"/>
      <c r="AA8" s="13"/>
      <c r="AB8" s="13"/>
      <c r="AC8" s="13"/>
    </row>
    <row r="9" spans="1:29" x14ac:dyDescent="0.2">
      <c r="A9" s="27" t="s">
        <v>4</v>
      </c>
      <c r="B9">
        <v>459</v>
      </c>
      <c r="C9">
        <v>2654.7</v>
      </c>
      <c r="D9">
        <v>7.4893257373411126</v>
      </c>
      <c r="E9">
        <v>4.1514000000000002E-2</v>
      </c>
      <c r="F9">
        <v>1.0577964517492631E-4</v>
      </c>
      <c r="G9">
        <v>3.4240154498219888</v>
      </c>
      <c r="H9">
        <v>-1.3818054190128619</v>
      </c>
      <c r="I9">
        <v>-1.383090934443822</v>
      </c>
    </row>
    <row r="10" spans="1:29" x14ac:dyDescent="0.2">
      <c r="A10" s="27" t="s">
        <v>4</v>
      </c>
      <c r="B10">
        <v>524</v>
      </c>
      <c r="C10">
        <v>3471.9</v>
      </c>
      <c r="D10">
        <v>7.8760537213900612</v>
      </c>
      <c r="E10">
        <v>3.7012999999999997E-2</v>
      </c>
      <c r="F10">
        <v>7.2817122528518924E-5</v>
      </c>
      <c r="G10">
        <v>3.5405672078426962</v>
      </c>
      <c r="H10">
        <v>-1.43164571277997</v>
      </c>
      <c r="I10">
        <v>-1.4337406728425159</v>
      </c>
    </row>
    <row r="11" spans="1:29" x14ac:dyDescent="0.2">
      <c r="A11" s="27" t="s">
        <v>4</v>
      </c>
      <c r="B11">
        <v>590</v>
      </c>
      <c r="C11">
        <v>4413.5</v>
      </c>
      <c r="D11">
        <v>4.8125992053266922</v>
      </c>
      <c r="E11">
        <v>3.3245999999999998E-2</v>
      </c>
      <c r="F11">
        <v>4.7215816559001928E-5</v>
      </c>
      <c r="G11">
        <v>3.6447831309233569</v>
      </c>
      <c r="H11">
        <v>-1.4782605994564519</v>
      </c>
      <c r="I11">
        <v>-1.4790296442887989</v>
      </c>
    </row>
    <row r="12" spans="1:29" x14ac:dyDescent="0.2">
      <c r="A12" s="27" t="s">
        <v>4</v>
      </c>
      <c r="B12">
        <v>656</v>
      </c>
      <c r="C12">
        <v>5462.5</v>
      </c>
      <c r="D12">
        <v>5.2983225857078793</v>
      </c>
      <c r="E12">
        <v>3.0091E-2</v>
      </c>
      <c r="F12">
        <v>1.7285189549952141E-5</v>
      </c>
      <c r="G12">
        <v>3.7373914499784782</v>
      </c>
      <c r="H12">
        <v>-1.521563379316567</v>
      </c>
      <c r="I12">
        <v>-1.5192743150972079</v>
      </c>
    </row>
    <row r="13" spans="1:29" x14ac:dyDescent="0.2">
      <c r="A13" s="27" t="s">
        <v>4</v>
      </c>
      <c r="B13">
        <v>666</v>
      </c>
      <c r="C13">
        <v>8615</v>
      </c>
      <c r="D13">
        <v>0</v>
      </c>
      <c r="E13">
        <v>2.3630000000000009E-2</v>
      </c>
      <c r="F13">
        <v>1.1564823173178709E-18</v>
      </c>
      <c r="G13">
        <v>3.9352552817840469</v>
      </c>
      <c r="H13">
        <v>-1.6265362783676309</v>
      </c>
      <c r="I13">
        <v>-1.6052597304157381</v>
      </c>
    </row>
    <row r="14" spans="1:29" x14ac:dyDescent="0.2">
      <c r="A14" s="27" t="s">
        <v>5</v>
      </c>
      <c r="B14">
        <v>65</v>
      </c>
      <c r="C14">
        <v>47.8</v>
      </c>
      <c r="D14">
        <v>1.481740718059525</v>
      </c>
      <c r="E14">
        <v>0.20963699999999999</v>
      </c>
      <c r="F14">
        <v>8.4001738143392648E-3</v>
      </c>
      <c r="G14">
        <v>1.679427896612119</v>
      </c>
      <c r="H14">
        <v>-0.67853206387484444</v>
      </c>
      <c r="I14">
        <v>-0.65745448535624873</v>
      </c>
    </row>
    <row r="15" spans="1:29" x14ac:dyDescent="0.2">
      <c r="A15" s="27" t="s">
        <v>5</v>
      </c>
      <c r="B15">
        <v>130</v>
      </c>
      <c r="C15">
        <v>201.9</v>
      </c>
      <c r="D15">
        <v>3.813572253587616</v>
      </c>
      <c r="E15">
        <v>0.12109300000000001</v>
      </c>
      <c r="F15">
        <v>3.5074850280824039E-3</v>
      </c>
      <c r="G15">
        <v>2.3051363189436391</v>
      </c>
      <c r="H15">
        <v>-0.91688096130979457</v>
      </c>
      <c r="I15">
        <v>-0.93221109867613228</v>
      </c>
    </row>
    <row r="16" spans="1:29" x14ac:dyDescent="0.2">
      <c r="A16" s="27" t="s">
        <v>5</v>
      </c>
      <c r="B16">
        <v>196</v>
      </c>
      <c r="C16">
        <v>453</v>
      </c>
      <c r="D16">
        <v>4.7539457296018854</v>
      </c>
      <c r="E16">
        <v>8.2914000000000015E-2</v>
      </c>
      <c r="F16">
        <v>1.122124176135005E-3</v>
      </c>
      <c r="G16">
        <v>2.6560982020128319</v>
      </c>
      <c r="H16">
        <v>-1.0813721327862229</v>
      </c>
      <c r="I16">
        <v>-1.086322974039972</v>
      </c>
    </row>
    <row r="17" spans="1:9" x14ac:dyDescent="0.2">
      <c r="A17" s="27" t="s">
        <v>5</v>
      </c>
      <c r="B17">
        <v>262</v>
      </c>
      <c r="C17">
        <v>828.6</v>
      </c>
      <c r="D17">
        <v>7.001904502823975</v>
      </c>
      <c r="E17">
        <v>6.3450999999999994E-2</v>
      </c>
      <c r="F17">
        <v>5.8089863334511436E-4</v>
      </c>
      <c r="G17">
        <v>2.9183449289622749</v>
      </c>
      <c r="H17">
        <v>-1.1975615289505279</v>
      </c>
      <c r="I17">
        <v>-1.201478883692531</v>
      </c>
    </row>
    <row r="18" spans="1:9" x14ac:dyDescent="0.2">
      <c r="A18" s="27" t="s">
        <v>5</v>
      </c>
      <c r="B18">
        <v>327</v>
      </c>
      <c r="C18">
        <v>1287.8</v>
      </c>
      <c r="D18">
        <v>4.2551929059287863</v>
      </c>
      <c r="E18">
        <v>5.297799999999999E-2</v>
      </c>
      <c r="F18">
        <v>4.0885694319651712E-4</v>
      </c>
      <c r="G18">
        <v>3.109848420756105</v>
      </c>
      <c r="H18">
        <v>-1.2759044410059239</v>
      </c>
      <c r="I18">
        <v>-1.285570529203939</v>
      </c>
    </row>
    <row r="19" spans="1:9" x14ac:dyDescent="0.2">
      <c r="A19" s="27" t="s">
        <v>5</v>
      </c>
      <c r="B19">
        <v>393</v>
      </c>
      <c r="C19">
        <v>1847</v>
      </c>
      <c r="D19">
        <v>6.2307481270086829</v>
      </c>
      <c r="E19">
        <v>4.4794E-2</v>
      </c>
      <c r="F19">
        <v>2.9242358925975057E-4</v>
      </c>
      <c r="G19">
        <v>3.2664668954402409</v>
      </c>
      <c r="H19">
        <v>-1.3487801543366851</v>
      </c>
      <c r="I19">
        <v>-1.3543437151668081</v>
      </c>
    </row>
    <row r="20" spans="1:9" x14ac:dyDescent="0.2">
      <c r="A20" s="27" t="s">
        <v>5</v>
      </c>
      <c r="B20">
        <v>458</v>
      </c>
      <c r="C20">
        <v>2522.6999999999998</v>
      </c>
      <c r="D20">
        <v>6.4412731660751668</v>
      </c>
      <c r="E20">
        <v>3.8827E-2</v>
      </c>
      <c r="F20">
        <v>1.6180269191552729E-4</v>
      </c>
      <c r="G20">
        <v>3.401865607199611</v>
      </c>
      <c r="H20">
        <v>-1.4108661642769911</v>
      </c>
      <c r="I20">
        <v>-1.413799030395358</v>
      </c>
    </row>
    <row r="21" spans="1:9" x14ac:dyDescent="0.2">
      <c r="A21" s="27" t="s">
        <v>5</v>
      </c>
      <c r="B21">
        <v>524</v>
      </c>
      <c r="C21">
        <v>3294.9</v>
      </c>
      <c r="D21">
        <v>4.3879886559156516</v>
      </c>
      <c r="E21">
        <v>3.4486999999999997E-2</v>
      </c>
      <c r="F21">
        <v>1.064273356698253E-4</v>
      </c>
      <c r="G21">
        <v>3.5178422383208559</v>
      </c>
      <c r="H21">
        <v>-1.4623445829626329</v>
      </c>
      <c r="I21">
        <v>-1.4647258602954349</v>
      </c>
    </row>
    <row r="22" spans="1:9" x14ac:dyDescent="0.2">
      <c r="A22" s="27" t="s">
        <v>5</v>
      </c>
      <c r="B22">
        <v>589</v>
      </c>
      <c r="C22">
        <v>4152.6000000000004</v>
      </c>
      <c r="D22">
        <v>5.2877216265609137</v>
      </c>
      <c r="E22">
        <v>3.0827E-2</v>
      </c>
      <c r="F22">
        <v>7.7374270773803059E-5</v>
      </c>
      <c r="G22">
        <v>3.6183200996244</v>
      </c>
      <c r="H22">
        <v>-1.511068737577747</v>
      </c>
      <c r="I22">
        <v>-1.508846981092431</v>
      </c>
    </row>
    <row r="23" spans="1:9" x14ac:dyDescent="0.2">
      <c r="A23" s="27" t="s">
        <v>5</v>
      </c>
      <c r="B23">
        <v>655</v>
      </c>
      <c r="C23">
        <v>5122</v>
      </c>
      <c r="D23">
        <v>3.245509718570156</v>
      </c>
      <c r="E23">
        <v>2.7997999999999999E-2</v>
      </c>
      <c r="F23">
        <v>6.9694571763756011E-5</v>
      </c>
      <c r="G23">
        <v>3.7094395741324111</v>
      </c>
      <c r="H23">
        <v>-1.5528729908001491</v>
      </c>
      <c r="I23">
        <v>-1.5488587139216301</v>
      </c>
    </row>
    <row r="24" spans="1:9" x14ac:dyDescent="0.2">
      <c r="A24" s="27" t="s">
        <v>5</v>
      </c>
      <c r="B24">
        <v>665</v>
      </c>
      <c r="C24">
        <v>8165</v>
      </c>
      <c r="D24">
        <v>0</v>
      </c>
      <c r="E24">
        <v>2.2120000000000001E-2</v>
      </c>
      <c r="F24">
        <v>0</v>
      </c>
      <c r="G24">
        <v>3.9119561890726868</v>
      </c>
      <c r="H24">
        <v>-1.655214877367339</v>
      </c>
      <c r="I24">
        <v>-1.637786363408368</v>
      </c>
    </row>
    <row r="25" spans="1:9" x14ac:dyDescent="0.2">
      <c r="A25" s="27" t="s">
        <v>6</v>
      </c>
      <c r="B25">
        <v>65</v>
      </c>
      <c r="C25">
        <v>50.3</v>
      </c>
      <c r="D25">
        <v>1.932471072084766</v>
      </c>
      <c r="E25">
        <v>0.22636899999999999</v>
      </c>
      <c r="F25">
        <v>9.6514480721231095E-3</v>
      </c>
      <c r="G25">
        <v>1.7015679850559271</v>
      </c>
      <c r="H25">
        <v>-0.64518304767258239</v>
      </c>
      <c r="I25">
        <v>-0.63426802337529631</v>
      </c>
    </row>
    <row r="26" spans="1:9" x14ac:dyDescent="0.2">
      <c r="A26" s="27" t="s">
        <v>6</v>
      </c>
      <c r="B26">
        <v>130</v>
      </c>
      <c r="C26">
        <v>206.7</v>
      </c>
      <c r="D26">
        <v>2.6459612829954851</v>
      </c>
      <c r="E26">
        <v>0.125886</v>
      </c>
      <c r="F26">
        <v>3.0218460877049621E-3</v>
      </c>
      <c r="G26">
        <v>2.3153404766272878</v>
      </c>
      <c r="H26">
        <v>-0.90002256584785312</v>
      </c>
      <c r="I26">
        <v>-0.90375366549658631</v>
      </c>
    </row>
    <row r="27" spans="1:9" x14ac:dyDescent="0.2">
      <c r="A27" s="27" t="s">
        <v>6</v>
      </c>
      <c r="B27">
        <v>196</v>
      </c>
      <c r="C27">
        <v>482.2</v>
      </c>
      <c r="D27">
        <v>4.5504578524217392</v>
      </c>
      <c r="E27">
        <v>8.7340000000000001E-2</v>
      </c>
      <c r="F27">
        <v>1.83016331997387E-3</v>
      </c>
      <c r="G27">
        <v>2.6832272060414351</v>
      </c>
      <c r="H27">
        <v>-1.0587868124146791</v>
      </c>
      <c r="I27">
        <v>-1.06527962644387</v>
      </c>
    </row>
    <row r="28" spans="1:9" x14ac:dyDescent="0.2">
      <c r="A28" s="27" t="s">
        <v>6</v>
      </c>
      <c r="B28">
        <v>262</v>
      </c>
      <c r="C28">
        <v>861.6</v>
      </c>
      <c r="D28">
        <v>7.7189521453512224</v>
      </c>
      <c r="E28">
        <v>6.6927E-2</v>
      </c>
      <c r="F28">
        <v>7.3840977783341984E-4</v>
      </c>
      <c r="G28">
        <v>2.9353056902899248</v>
      </c>
      <c r="H28">
        <v>-1.174398641792348</v>
      </c>
      <c r="I28">
        <v>-1.1759583113402059</v>
      </c>
    </row>
    <row r="29" spans="1:9" x14ac:dyDescent="0.2">
      <c r="A29" s="27" t="s">
        <v>6</v>
      </c>
      <c r="B29">
        <v>327</v>
      </c>
      <c r="C29">
        <v>1352.6</v>
      </c>
      <c r="D29">
        <v>6.8737827205177844</v>
      </c>
      <c r="E29">
        <v>5.5237000000000001E-2</v>
      </c>
      <c r="F29">
        <v>4.2723672855013559E-4</v>
      </c>
      <c r="G29">
        <v>3.1311693830893241</v>
      </c>
      <c r="H29">
        <v>-1.2577699166036489</v>
      </c>
      <c r="I29">
        <v>-1.26195508334796</v>
      </c>
    </row>
    <row r="30" spans="1:9" x14ac:dyDescent="0.2">
      <c r="A30" s="27" t="s">
        <v>6</v>
      </c>
      <c r="B30">
        <v>393</v>
      </c>
      <c r="C30">
        <v>1946</v>
      </c>
      <c r="D30">
        <v>11.99536947696439</v>
      </c>
      <c r="E30">
        <v>4.6784000000000013E-2</v>
      </c>
      <c r="F30">
        <v>2.1572204337990121E-4</v>
      </c>
      <c r="G30">
        <v>3.2891428359323331</v>
      </c>
      <c r="H30">
        <v>-1.329902649058252</v>
      </c>
      <c r="I30">
        <v>-1.3313156004159781</v>
      </c>
    </row>
    <row r="31" spans="1:9" x14ac:dyDescent="0.2">
      <c r="A31" s="27" t="s">
        <v>6</v>
      </c>
      <c r="B31">
        <v>458</v>
      </c>
      <c r="C31">
        <v>2656.6</v>
      </c>
      <c r="D31">
        <v>6.4069406809247793</v>
      </c>
      <c r="E31">
        <v>4.0791000000000001E-2</v>
      </c>
      <c r="F31">
        <v>1.67573864310638E-4</v>
      </c>
      <c r="G31">
        <v>3.4243261683092951</v>
      </c>
      <c r="H31">
        <v>-1.38943564773124</v>
      </c>
      <c r="I31">
        <v>-1.390669787235975</v>
      </c>
    </row>
    <row r="32" spans="1:9" x14ac:dyDescent="0.2">
      <c r="A32" s="27" t="s">
        <v>6</v>
      </c>
      <c r="B32">
        <v>524</v>
      </c>
      <c r="C32">
        <v>3494.5</v>
      </c>
      <c r="D32">
        <v>5.2667721508423817</v>
      </c>
      <c r="E32">
        <v>3.6569999999999998E-2</v>
      </c>
      <c r="F32">
        <v>8.2273257434532421E-5</v>
      </c>
      <c r="G32">
        <v>3.5433850448098432</v>
      </c>
      <c r="H32">
        <v>-1.4368750396619561</v>
      </c>
      <c r="I32">
        <v>-1.4429442997379081</v>
      </c>
    </row>
    <row r="33" spans="1:9" x14ac:dyDescent="0.2">
      <c r="A33" s="27" t="s">
        <v>6</v>
      </c>
      <c r="B33">
        <v>589</v>
      </c>
      <c r="C33">
        <v>4403.3</v>
      </c>
      <c r="D33">
        <v>3.2285187522040708</v>
      </c>
      <c r="E33">
        <v>3.2891999999999998E-2</v>
      </c>
      <c r="F33">
        <v>5.9363288318623168E-5</v>
      </c>
      <c r="G33">
        <v>3.6437782752633301</v>
      </c>
      <c r="H33">
        <v>-1.482909718412877</v>
      </c>
      <c r="I33">
        <v>-1.487023391819934</v>
      </c>
    </row>
    <row r="34" spans="1:9" x14ac:dyDescent="0.2">
      <c r="A34" s="27" t="s">
        <v>6</v>
      </c>
      <c r="B34">
        <v>655</v>
      </c>
      <c r="C34">
        <v>5438.6</v>
      </c>
      <c r="D34">
        <v>5.8938762947467591</v>
      </c>
      <c r="E34">
        <v>2.9750999999999989E-2</v>
      </c>
      <c r="F34">
        <v>5.8849148016111702E-5</v>
      </c>
      <c r="G34">
        <v>3.7354871183516791</v>
      </c>
      <c r="H34">
        <v>-1.526498432046927</v>
      </c>
      <c r="I34">
        <v>-1.527289478696183</v>
      </c>
    </row>
    <row r="35" spans="1:9" x14ac:dyDescent="0.2">
      <c r="A35" s="27" t="s">
        <v>6</v>
      </c>
      <c r="B35">
        <v>665</v>
      </c>
      <c r="C35">
        <v>8619</v>
      </c>
      <c r="D35">
        <v>0</v>
      </c>
      <c r="E35">
        <v>2.324E-2</v>
      </c>
      <c r="F35">
        <v>1.1564823173178709E-18</v>
      </c>
      <c r="G35">
        <v>3.9354568807116102</v>
      </c>
      <c r="H35">
        <v>-1.6337638762817071</v>
      </c>
      <c r="I35">
        <v>-1.6150890796141759</v>
      </c>
    </row>
    <row r="36" spans="1:9" x14ac:dyDescent="0.2">
      <c r="A36" s="27" t="s">
        <v>7</v>
      </c>
      <c r="B36">
        <v>65</v>
      </c>
      <c r="C36">
        <v>52.1</v>
      </c>
      <c r="D36">
        <v>1.303414319734477</v>
      </c>
      <c r="E36">
        <v>0.240152</v>
      </c>
      <c r="F36">
        <v>8.7450770659205108E-3</v>
      </c>
      <c r="G36">
        <v>1.716837723299524</v>
      </c>
      <c r="H36">
        <v>-0.61951379217993485</v>
      </c>
      <c r="I36">
        <v>-0.60123305459169774</v>
      </c>
    </row>
    <row r="37" spans="1:9" x14ac:dyDescent="0.2">
      <c r="A37" s="27" t="s">
        <v>7</v>
      </c>
      <c r="B37">
        <v>130</v>
      </c>
      <c r="C37">
        <v>209.8</v>
      </c>
      <c r="D37">
        <v>2.6364959911046908</v>
      </c>
      <c r="E37">
        <v>0.13777800000000001</v>
      </c>
      <c r="F37">
        <v>3.3789050823536831E-3</v>
      </c>
      <c r="G37">
        <v>2.3218054838575388</v>
      </c>
      <c r="H37">
        <v>-0.8608201238026838</v>
      </c>
      <c r="I37">
        <v>-0.86610594476926028</v>
      </c>
    </row>
    <row r="38" spans="1:9" x14ac:dyDescent="0.2">
      <c r="A38" s="27" t="s">
        <v>7</v>
      </c>
      <c r="B38">
        <v>196</v>
      </c>
      <c r="C38">
        <v>468.5</v>
      </c>
      <c r="D38">
        <v>5.497979426823802</v>
      </c>
      <c r="E38">
        <v>9.8486999999999991E-2</v>
      </c>
      <c r="F38">
        <v>1.65567646463781E-3</v>
      </c>
      <c r="G38">
        <v>2.6707095952237969</v>
      </c>
      <c r="H38">
        <v>-1.00662109133858</v>
      </c>
      <c r="I38">
        <v>-1.018866548552795</v>
      </c>
    </row>
    <row r="39" spans="1:9" x14ac:dyDescent="0.2">
      <c r="A39" s="27" t="s">
        <v>7</v>
      </c>
      <c r="B39">
        <v>262</v>
      </c>
      <c r="C39">
        <v>827.9</v>
      </c>
      <c r="D39">
        <v>7.2853734747551986</v>
      </c>
      <c r="E39">
        <v>7.5895999999999991E-2</v>
      </c>
      <c r="F39">
        <v>1.2227766217370469E-3</v>
      </c>
      <c r="G39">
        <v>2.9179778825929081</v>
      </c>
      <c r="H39">
        <v>-1.119781112427374</v>
      </c>
      <c r="I39">
        <v>-1.1271279637797831</v>
      </c>
    </row>
    <row r="40" spans="1:9" x14ac:dyDescent="0.2">
      <c r="A40" s="27" t="s">
        <v>7</v>
      </c>
      <c r="B40">
        <v>327</v>
      </c>
      <c r="C40">
        <v>1281.5999999999999</v>
      </c>
      <c r="D40">
        <v>8.6976369715508852</v>
      </c>
      <c r="E40">
        <v>6.2158999999999999E-2</v>
      </c>
      <c r="F40">
        <v>9.4199368952828475E-4</v>
      </c>
      <c r="G40">
        <v>3.107752498740163</v>
      </c>
      <c r="H40">
        <v>-1.2064959809828071</v>
      </c>
      <c r="I40">
        <v>-1.210216938661512</v>
      </c>
    </row>
    <row r="41" spans="1:9" x14ac:dyDescent="0.2">
      <c r="A41" s="27" t="s">
        <v>7</v>
      </c>
      <c r="B41">
        <v>393</v>
      </c>
      <c r="C41">
        <v>1852.8</v>
      </c>
      <c r="D41">
        <v>6.5959583584697272</v>
      </c>
      <c r="E41">
        <v>5.2861000000000012E-2</v>
      </c>
      <c r="F41">
        <v>4.718484926329638E-4</v>
      </c>
      <c r="G41">
        <v>3.2678285420473419</v>
      </c>
      <c r="H41">
        <v>-1.2768646253440361</v>
      </c>
      <c r="I41">
        <v>-1.280302994486789</v>
      </c>
    </row>
    <row r="42" spans="1:9" x14ac:dyDescent="0.2">
      <c r="A42" s="27" t="s">
        <v>7</v>
      </c>
      <c r="B42">
        <v>458</v>
      </c>
      <c r="C42">
        <v>2520.5</v>
      </c>
      <c r="D42">
        <v>6.5357988545140113</v>
      </c>
      <c r="E42">
        <v>4.6466E-2</v>
      </c>
      <c r="F42">
        <v>3.3239267273646157E-4</v>
      </c>
      <c r="G42">
        <v>3.4014867017741688</v>
      </c>
      <c r="H42">
        <v>-1.332864711913158</v>
      </c>
      <c r="I42">
        <v>-1.3388225146509769</v>
      </c>
    </row>
    <row r="43" spans="1:9" x14ac:dyDescent="0.2">
      <c r="A43" s="27" t="s">
        <v>7</v>
      </c>
      <c r="B43">
        <v>524</v>
      </c>
      <c r="C43">
        <v>3331.1</v>
      </c>
      <c r="D43">
        <v>13.673534859558281</v>
      </c>
      <c r="E43">
        <v>4.0835000000000003E-2</v>
      </c>
      <c r="F43">
        <v>1.570650962004112E-4</v>
      </c>
      <c r="G43">
        <v>3.5225876704565038</v>
      </c>
      <c r="H43">
        <v>-1.388967440075479</v>
      </c>
      <c r="I43">
        <v>-1.391844122858009</v>
      </c>
    </row>
    <row r="44" spans="1:9" x14ac:dyDescent="0.2">
      <c r="A44" s="27" t="s">
        <v>7</v>
      </c>
      <c r="B44">
        <v>589</v>
      </c>
      <c r="C44">
        <v>4192.1000000000004</v>
      </c>
      <c r="D44">
        <v>11.21749625461146</v>
      </c>
      <c r="E44">
        <v>3.6700999999999998E-2</v>
      </c>
      <c r="F44">
        <v>4.61266372789805E-5</v>
      </c>
      <c r="G44">
        <v>3.6224316339303919</v>
      </c>
      <c r="H44">
        <v>-1.43532210227202</v>
      </c>
      <c r="I44">
        <v>-1.4355587815494379</v>
      </c>
    </row>
    <row r="45" spans="1:9" x14ac:dyDescent="0.2">
      <c r="A45" s="27" t="s">
        <v>7</v>
      </c>
      <c r="B45">
        <v>655</v>
      </c>
      <c r="C45">
        <v>5196.1000000000004</v>
      </c>
      <c r="D45">
        <v>11.75438452474461</v>
      </c>
      <c r="E45">
        <v>3.3259999999999998E-2</v>
      </c>
      <c r="F45">
        <v>2.0275875100993919E-5</v>
      </c>
      <c r="G45">
        <v>3.715677500566942</v>
      </c>
      <c r="H45">
        <v>-1.4780777551165001</v>
      </c>
      <c r="I45">
        <v>-1.476384597077778</v>
      </c>
    </row>
    <row r="46" spans="1:9" x14ac:dyDescent="0.2">
      <c r="A46" s="27" t="s">
        <v>7</v>
      </c>
      <c r="B46">
        <v>665</v>
      </c>
      <c r="C46">
        <v>8269</v>
      </c>
      <c r="D46">
        <v>0</v>
      </c>
      <c r="E46">
        <v>2.5950000000000001E-2</v>
      </c>
      <c r="F46">
        <v>0</v>
      </c>
      <c r="G46">
        <v>3.9174529919296641</v>
      </c>
      <c r="H46">
        <v>-1.5858626378155229</v>
      </c>
      <c r="I46">
        <v>-1.564727912290055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895DB-66F3-AF47-A56B-9367486E6A96}">
  <dimension ref="A1:I46"/>
  <sheetViews>
    <sheetView zoomScale="150" zoomScaleNormal="150" workbookViewId="0">
      <selection activeCell="A2" sqref="A2"/>
    </sheetView>
  </sheetViews>
  <sheetFormatPr baseColWidth="10" defaultRowHeight="15" x14ac:dyDescent="0.2"/>
  <sheetData>
    <row r="1" spans="1:9" x14ac:dyDescent="0.2">
      <c r="A1" s="27"/>
      <c r="B1" s="27"/>
      <c r="C1" s="27"/>
      <c r="D1" s="27"/>
      <c r="E1" s="27"/>
      <c r="F1" s="27"/>
      <c r="G1" s="27"/>
      <c r="H1" s="27"/>
      <c r="I1" s="27"/>
    </row>
    <row r="2" spans="1:9" x14ac:dyDescent="0.2">
      <c r="A2" s="31" t="s">
        <v>25</v>
      </c>
      <c r="B2" s="28" t="s">
        <v>26</v>
      </c>
      <c r="C2" s="29" t="s">
        <v>27</v>
      </c>
      <c r="D2" s="29" t="s">
        <v>28</v>
      </c>
      <c r="E2" s="29" t="s">
        <v>29</v>
      </c>
      <c r="F2" s="29" t="s">
        <v>30</v>
      </c>
      <c r="G2" s="29" t="s">
        <v>31</v>
      </c>
      <c r="H2" s="29" t="s">
        <v>32</v>
      </c>
      <c r="I2" s="29" t="s">
        <v>33</v>
      </c>
    </row>
    <row r="3" spans="1:9" x14ac:dyDescent="0.2">
      <c r="A3" s="27" t="s">
        <v>4</v>
      </c>
      <c r="B3">
        <v>65</v>
      </c>
      <c r="C3">
        <v>54.1</v>
      </c>
      <c r="D3">
        <v>2.1105554824368968</v>
      </c>
      <c r="E3">
        <v>0.21757000000000001</v>
      </c>
      <c r="F3">
        <v>4.4148104275394569E-3</v>
      </c>
      <c r="G3">
        <v>1.733197265106569</v>
      </c>
      <c r="H3">
        <v>-0.66240098826001137</v>
      </c>
      <c r="I3">
        <v>-0.6483143837514157</v>
      </c>
    </row>
    <row r="4" spans="1:9" x14ac:dyDescent="0.2">
      <c r="A4" s="27" t="s">
        <v>4</v>
      </c>
      <c r="B4">
        <v>131</v>
      </c>
      <c r="C4">
        <v>216.5</v>
      </c>
      <c r="D4">
        <v>2.486630920207769</v>
      </c>
      <c r="E4">
        <v>0.122269</v>
      </c>
      <c r="F4">
        <v>1.696034885647501E-3</v>
      </c>
      <c r="G4">
        <v>2.3354579006893839</v>
      </c>
      <c r="H4">
        <v>-0.91268363973813083</v>
      </c>
      <c r="I4">
        <v>-0.9100379661162683</v>
      </c>
    </row>
    <row r="5" spans="1:9" x14ac:dyDescent="0.2">
      <c r="A5" s="27" t="s">
        <v>4</v>
      </c>
      <c r="B5">
        <v>196</v>
      </c>
      <c r="C5">
        <v>475.2</v>
      </c>
      <c r="D5">
        <v>4.6804558182581601</v>
      </c>
      <c r="E5">
        <v>8.8970999999999995E-2</v>
      </c>
      <c r="F5">
        <v>1.258028837330669E-3</v>
      </c>
      <c r="G5">
        <v>2.6768764319731368</v>
      </c>
      <c r="H5">
        <v>-1.050751528100486</v>
      </c>
      <c r="I5">
        <v>-1.0584077512456891</v>
      </c>
    </row>
    <row r="6" spans="1:9" x14ac:dyDescent="0.2">
      <c r="A6" s="27" t="s">
        <v>4</v>
      </c>
      <c r="B6">
        <v>262</v>
      </c>
      <c r="C6">
        <v>867.1</v>
      </c>
      <c r="D6">
        <v>5.5486735151545714</v>
      </c>
      <c r="E6">
        <v>6.9492999999999999E-2</v>
      </c>
      <c r="F6">
        <v>7.1478831365190431E-4</v>
      </c>
      <c r="G6">
        <v>2.9380691862233861</v>
      </c>
      <c r="H6">
        <v>-1.1580589395031271</v>
      </c>
      <c r="I6">
        <v>-1.1719139299517971</v>
      </c>
    </row>
    <row r="7" spans="1:9" x14ac:dyDescent="0.2">
      <c r="A7" s="27" t="s">
        <v>4</v>
      </c>
      <c r="B7">
        <v>328</v>
      </c>
      <c r="C7">
        <v>1347.8</v>
      </c>
      <c r="D7">
        <v>9.7431457388714495</v>
      </c>
      <c r="E7">
        <v>5.6467999999999997E-2</v>
      </c>
      <c r="F7">
        <v>3.919688196216065E-4</v>
      </c>
      <c r="G7">
        <v>3.129625452035683</v>
      </c>
      <c r="H7">
        <v>-1.2481975939586329</v>
      </c>
      <c r="I7">
        <v>-1.255158274925984</v>
      </c>
    </row>
    <row r="8" spans="1:9" x14ac:dyDescent="0.2">
      <c r="A8" s="27" t="s">
        <v>4</v>
      </c>
      <c r="B8">
        <v>393</v>
      </c>
      <c r="C8">
        <v>1958</v>
      </c>
      <c r="D8">
        <v>6.7214416443035319</v>
      </c>
      <c r="E8">
        <v>4.8088000000000013E-2</v>
      </c>
      <c r="F8">
        <v>1.7630655121123509E-4</v>
      </c>
      <c r="G8">
        <v>3.291812687467119</v>
      </c>
      <c r="H8">
        <v>-1.31796328503944</v>
      </c>
      <c r="I8">
        <v>-1.3256397604540711</v>
      </c>
    </row>
    <row r="9" spans="1:9" x14ac:dyDescent="0.2">
      <c r="A9" s="27" t="s">
        <v>4</v>
      </c>
      <c r="B9">
        <v>459</v>
      </c>
      <c r="C9">
        <v>2654.7</v>
      </c>
      <c r="D9">
        <v>7.4893257373411126</v>
      </c>
      <c r="E9">
        <v>4.1514000000000002E-2</v>
      </c>
      <c r="F9">
        <v>1.0577964517492631E-4</v>
      </c>
      <c r="G9">
        <v>3.4240154498219888</v>
      </c>
      <c r="H9">
        <v>-1.3818054190128619</v>
      </c>
      <c r="I9">
        <v>-1.383090934443822</v>
      </c>
    </row>
    <row r="10" spans="1:9" x14ac:dyDescent="0.2">
      <c r="A10" s="27" t="s">
        <v>4</v>
      </c>
      <c r="B10">
        <v>524</v>
      </c>
      <c r="C10">
        <v>3471.9</v>
      </c>
      <c r="D10">
        <v>7.8760537213900612</v>
      </c>
      <c r="E10">
        <v>3.7012999999999997E-2</v>
      </c>
      <c r="F10">
        <v>7.2817122528518924E-5</v>
      </c>
      <c r="G10">
        <v>3.5405672078426962</v>
      </c>
      <c r="H10">
        <v>-1.43164571277997</v>
      </c>
      <c r="I10">
        <v>-1.4337406728425159</v>
      </c>
    </row>
    <row r="11" spans="1:9" x14ac:dyDescent="0.2">
      <c r="A11" s="27" t="s">
        <v>4</v>
      </c>
      <c r="B11">
        <v>590</v>
      </c>
      <c r="C11">
        <v>4413.5</v>
      </c>
      <c r="D11">
        <v>4.8125992053266922</v>
      </c>
      <c r="E11">
        <v>3.3245999999999998E-2</v>
      </c>
      <c r="F11">
        <v>4.7215816559001928E-5</v>
      </c>
      <c r="G11">
        <v>3.6447831309233569</v>
      </c>
      <c r="H11">
        <v>-1.4782605994564519</v>
      </c>
      <c r="I11">
        <v>-1.4790296442887989</v>
      </c>
    </row>
    <row r="12" spans="1:9" x14ac:dyDescent="0.2">
      <c r="A12" s="27" t="s">
        <v>4</v>
      </c>
      <c r="B12">
        <v>656</v>
      </c>
      <c r="C12">
        <v>5462.5</v>
      </c>
      <c r="D12">
        <v>5.2983225857078793</v>
      </c>
      <c r="E12">
        <v>3.0091E-2</v>
      </c>
      <c r="F12">
        <v>1.7285189549952141E-5</v>
      </c>
      <c r="G12">
        <v>3.7373914499784782</v>
      </c>
      <c r="H12">
        <v>-1.521563379316567</v>
      </c>
      <c r="I12">
        <v>-1.5192743150972079</v>
      </c>
    </row>
    <row r="13" spans="1:9" x14ac:dyDescent="0.2">
      <c r="A13" s="27" t="s">
        <v>4</v>
      </c>
      <c r="B13">
        <v>666</v>
      </c>
      <c r="C13">
        <v>8615</v>
      </c>
      <c r="D13">
        <v>0</v>
      </c>
      <c r="E13">
        <v>2.3630000000000009E-2</v>
      </c>
      <c r="F13">
        <v>1.1564823173178709E-18</v>
      </c>
      <c r="G13">
        <v>3.9352552817840469</v>
      </c>
      <c r="H13">
        <v>-1.6265362783676309</v>
      </c>
      <c r="I13">
        <v>-1.6052597304157381</v>
      </c>
    </row>
    <row r="14" spans="1:9" x14ac:dyDescent="0.2">
      <c r="A14" s="27" t="s">
        <v>5</v>
      </c>
      <c r="B14">
        <v>65</v>
      </c>
      <c r="C14">
        <v>47.8</v>
      </c>
      <c r="D14">
        <v>1.481740718059525</v>
      </c>
      <c r="E14">
        <v>0.20963699999999999</v>
      </c>
      <c r="F14">
        <v>8.4001738143392648E-3</v>
      </c>
      <c r="G14">
        <v>1.679427896612119</v>
      </c>
      <c r="H14">
        <v>-0.67853206387484444</v>
      </c>
      <c r="I14">
        <v>-0.65745448535624873</v>
      </c>
    </row>
    <row r="15" spans="1:9" x14ac:dyDescent="0.2">
      <c r="A15" s="27" t="s">
        <v>5</v>
      </c>
      <c r="B15">
        <v>130</v>
      </c>
      <c r="C15">
        <v>201.9</v>
      </c>
      <c r="D15">
        <v>3.813572253587616</v>
      </c>
      <c r="E15">
        <v>0.12109300000000001</v>
      </c>
      <c r="F15">
        <v>3.5074850280824039E-3</v>
      </c>
      <c r="G15">
        <v>2.3051363189436391</v>
      </c>
      <c r="H15">
        <v>-0.91688096130979457</v>
      </c>
      <c r="I15">
        <v>-0.93221109867613228</v>
      </c>
    </row>
    <row r="16" spans="1:9" x14ac:dyDescent="0.2">
      <c r="A16" s="27" t="s">
        <v>5</v>
      </c>
      <c r="B16">
        <v>196</v>
      </c>
      <c r="C16">
        <v>453</v>
      </c>
      <c r="D16">
        <v>4.7539457296018854</v>
      </c>
      <c r="E16">
        <v>8.2914000000000015E-2</v>
      </c>
      <c r="F16">
        <v>1.122124176135005E-3</v>
      </c>
      <c r="G16">
        <v>2.6560982020128319</v>
      </c>
      <c r="H16">
        <v>-1.0813721327862229</v>
      </c>
      <c r="I16">
        <v>-1.086322974039972</v>
      </c>
    </row>
    <row r="17" spans="1:9" x14ac:dyDescent="0.2">
      <c r="A17" s="27" t="s">
        <v>5</v>
      </c>
      <c r="B17">
        <v>262</v>
      </c>
      <c r="C17">
        <v>828.6</v>
      </c>
      <c r="D17">
        <v>7.001904502823975</v>
      </c>
      <c r="E17">
        <v>6.3450999999999994E-2</v>
      </c>
      <c r="F17">
        <v>5.8089863334511436E-4</v>
      </c>
      <c r="G17">
        <v>2.9183449289622749</v>
      </c>
      <c r="H17">
        <v>-1.1975615289505279</v>
      </c>
      <c r="I17">
        <v>-1.201478883692531</v>
      </c>
    </row>
    <row r="18" spans="1:9" x14ac:dyDescent="0.2">
      <c r="A18" s="27" t="s">
        <v>5</v>
      </c>
      <c r="B18">
        <v>327</v>
      </c>
      <c r="C18">
        <v>1287.8</v>
      </c>
      <c r="D18">
        <v>4.2551929059287863</v>
      </c>
      <c r="E18">
        <v>5.297799999999999E-2</v>
      </c>
      <c r="F18">
        <v>4.0885694319651712E-4</v>
      </c>
      <c r="G18">
        <v>3.109848420756105</v>
      </c>
      <c r="H18">
        <v>-1.2759044410059239</v>
      </c>
      <c r="I18">
        <v>-1.285570529203939</v>
      </c>
    </row>
    <row r="19" spans="1:9" x14ac:dyDescent="0.2">
      <c r="A19" s="27" t="s">
        <v>5</v>
      </c>
      <c r="B19">
        <v>393</v>
      </c>
      <c r="C19">
        <v>1847</v>
      </c>
      <c r="D19">
        <v>6.2307481270086829</v>
      </c>
      <c r="E19">
        <v>4.4794E-2</v>
      </c>
      <c r="F19">
        <v>2.9242358925975057E-4</v>
      </c>
      <c r="G19">
        <v>3.2664668954402409</v>
      </c>
      <c r="H19">
        <v>-1.3487801543366851</v>
      </c>
      <c r="I19">
        <v>-1.3543437151668081</v>
      </c>
    </row>
    <row r="20" spans="1:9" x14ac:dyDescent="0.2">
      <c r="A20" s="27" t="s">
        <v>5</v>
      </c>
      <c r="B20">
        <v>458</v>
      </c>
      <c r="C20">
        <v>2522.6999999999998</v>
      </c>
      <c r="D20">
        <v>6.4412731660751668</v>
      </c>
      <c r="E20">
        <v>3.8827E-2</v>
      </c>
      <c r="F20">
        <v>1.6180269191552729E-4</v>
      </c>
      <c r="G20">
        <v>3.401865607199611</v>
      </c>
      <c r="H20">
        <v>-1.4108661642769911</v>
      </c>
      <c r="I20">
        <v>-1.413799030395358</v>
      </c>
    </row>
    <row r="21" spans="1:9" x14ac:dyDescent="0.2">
      <c r="A21" s="27" t="s">
        <v>5</v>
      </c>
      <c r="B21">
        <v>524</v>
      </c>
      <c r="C21">
        <v>3294.9</v>
      </c>
      <c r="D21">
        <v>4.3879886559156516</v>
      </c>
      <c r="E21">
        <v>3.4486999999999997E-2</v>
      </c>
      <c r="F21">
        <v>1.064273356698253E-4</v>
      </c>
      <c r="G21">
        <v>3.5178422383208559</v>
      </c>
      <c r="H21">
        <v>-1.4623445829626329</v>
      </c>
      <c r="I21">
        <v>-1.4647258602954349</v>
      </c>
    </row>
    <row r="22" spans="1:9" x14ac:dyDescent="0.2">
      <c r="A22" s="27" t="s">
        <v>5</v>
      </c>
      <c r="B22">
        <v>589</v>
      </c>
      <c r="C22">
        <v>4152.6000000000004</v>
      </c>
      <c r="D22">
        <v>5.2877216265609137</v>
      </c>
      <c r="E22">
        <v>3.0827E-2</v>
      </c>
      <c r="F22">
        <v>7.7374270773803059E-5</v>
      </c>
      <c r="G22">
        <v>3.6183200996244</v>
      </c>
      <c r="H22">
        <v>-1.511068737577747</v>
      </c>
      <c r="I22">
        <v>-1.508846981092431</v>
      </c>
    </row>
    <row r="23" spans="1:9" x14ac:dyDescent="0.2">
      <c r="A23" s="27" t="s">
        <v>5</v>
      </c>
      <c r="B23">
        <v>655</v>
      </c>
      <c r="C23">
        <v>5122</v>
      </c>
      <c r="D23">
        <v>3.245509718570156</v>
      </c>
      <c r="E23">
        <v>2.7997999999999999E-2</v>
      </c>
      <c r="F23">
        <v>6.9694571763756011E-5</v>
      </c>
      <c r="G23">
        <v>3.7094395741324111</v>
      </c>
      <c r="H23">
        <v>-1.5528729908001491</v>
      </c>
      <c r="I23">
        <v>-1.5488587139216301</v>
      </c>
    </row>
    <row r="24" spans="1:9" x14ac:dyDescent="0.2">
      <c r="A24" s="27" t="s">
        <v>5</v>
      </c>
      <c r="B24">
        <v>665</v>
      </c>
      <c r="C24">
        <v>8165</v>
      </c>
      <c r="D24">
        <v>0</v>
      </c>
      <c r="E24">
        <v>2.2120000000000001E-2</v>
      </c>
      <c r="F24">
        <v>0</v>
      </c>
      <c r="G24">
        <v>3.9119561890726868</v>
      </c>
      <c r="H24">
        <v>-1.655214877367339</v>
      </c>
      <c r="I24">
        <v>-1.637786363408368</v>
      </c>
    </row>
    <row r="25" spans="1:9" x14ac:dyDescent="0.2">
      <c r="A25" s="27" t="s">
        <v>6</v>
      </c>
      <c r="B25">
        <v>65</v>
      </c>
      <c r="C25">
        <v>50.3</v>
      </c>
      <c r="D25">
        <v>1.932471072084766</v>
      </c>
      <c r="E25">
        <v>0.22636899999999999</v>
      </c>
      <c r="F25">
        <v>9.6514480721231095E-3</v>
      </c>
      <c r="G25">
        <v>1.7015679850559271</v>
      </c>
      <c r="H25">
        <v>-0.64518304767258239</v>
      </c>
      <c r="I25">
        <v>-0.63426802337529631</v>
      </c>
    </row>
    <row r="26" spans="1:9" x14ac:dyDescent="0.2">
      <c r="A26" s="27" t="s">
        <v>6</v>
      </c>
      <c r="B26">
        <v>130</v>
      </c>
      <c r="C26">
        <v>206.7</v>
      </c>
      <c r="D26">
        <v>2.6459612829954851</v>
      </c>
      <c r="E26">
        <v>0.125886</v>
      </c>
      <c r="F26">
        <v>3.0218460877049621E-3</v>
      </c>
      <c r="G26">
        <v>2.3153404766272878</v>
      </c>
      <c r="H26">
        <v>-0.90002256584785312</v>
      </c>
      <c r="I26">
        <v>-0.90375366549658631</v>
      </c>
    </row>
    <row r="27" spans="1:9" x14ac:dyDescent="0.2">
      <c r="A27" s="27" t="s">
        <v>6</v>
      </c>
      <c r="B27">
        <v>196</v>
      </c>
      <c r="C27">
        <v>482.2</v>
      </c>
      <c r="D27">
        <v>4.5504578524217392</v>
      </c>
      <c r="E27">
        <v>8.7340000000000001E-2</v>
      </c>
      <c r="F27">
        <v>1.83016331997387E-3</v>
      </c>
      <c r="G27">
        <v>2.6832272060414351</v>
      </c>
      <c r="H27">
        <v>-1.0587868124146791</v>
      </c>
      <c r="I27">
        <v>-1.06527962644387</v>
      </c>
    </row>
    <row r="28" spans="1:9" x14ac:dyDescent="0.2">
      <c r="A28" s="27" t="s">
        <v>6</v>
      </c>
      <c r="B28">
        <v>262</v>
      </c>
      <c r="C28">
        <v>861.6</v>
      </c>
      <c r="D28">
        <v>7.7189521453512224</v>
      </c>
      <c r="E28">
        <v>6.6927E-2</v>
      </c>
      <c r="F28">
        <v>7.3840977783341984E-4</v>
      </c>
      <c r="G28">
        <v>2.9353056902899248</v>
      </c>
      <c r="H28">
        <v>-1.174398641792348</v>
      </c>
      <c r="I28">
        <v>-1.1759583113402059</v>
      </c>
    </row>
    <row r="29" spans="1:9" x14ac:dyDescent="0.2">
      <c r="A29" s="27" t="s">
        <v>6</v>
      </c>
      <c r="B29">
        <v>327</v>
      </c>
      <c r="C29">
        <v>1352.6</v>
      </c>
      <c r="D29">
        <v>6.8737827205177844</v>
      </c>
      <c r="E29">
        <v>5.5237000000000001E-2</v>
      </c>
      <c r="F29">
        <v>4.2723672855013559E-4</v>
      </c>
      <c r="G29">
        <v>3.1311693830893241</v>
      </c>
      <c r="H29">
        <v>-1.2577699166036489</v>
      </c>
      <c r="I29">
        <v>-1.26195508334796</v>
      </c>
    </row>
    <row r="30" spans="1:9" x14ac:dyDescent="0.2">
      <c r="A30" s="27" t="s">
        <v>6</v>
      </c>
      <c r="B30">
        <v>393</v>
      </c>
      <c r="C30">
        <v>1946</v>
      </c>
      <c r="D30">
        <v>11.99536947696439</v>
      </c>
      <c r="E30">
        <v>4.6784000000000013E-2</v>
      </c>
      <c r="F30">
        <v>2.1572204337990121E-4</v>
      </c>
      <c r="G30">
        <v>3.2891428359323331</v>
      </c>
      <c r="H30">
        <v>-1.329902649058252</v>
      </c>
      <c r="I30">
        <v>-1.3313156004159781</v>
      </c>
    </row>
    <row r="31" spans="1:9" x14ac:dyDescent="0.2">
      <c r="A31" s="27" t="s">
        <v>6</v>
      </c>
      <c r="B31">
        <v>458</v>
      </c>
      <c r="C31">
        <v>2656.6</v>
      </c>
      <c r="D31">
        <v>6.4069406809247793</v>
      </c>
      <c r="E31">
        <v>4.0791000000000001E-2</v>
      </c>
      <c r="F31">
        <v>1.67573864310638E-4</v>
      </c>
      <c r="G31">
        <v>3.4243261683092951</v>
      </c>
      <c r="H31">
        <v>-1.38943564773124</v>
      </c>
      <c r="I31">
        <v>-1.390669787235975</v>
      </c>
    </row>
    <row r="32" spans="1:9" x14ac:dyDescent="0.2">
      <c r="A32" s="27" t="s">
        <v>6</v>
      </c>
      <c r="B32">
        <v>524</v>
      </c>
      <c r="C32">
        <v>3494.5</v>
      </c>
      <c r="D32">
        <v>5.2667721508423817</v>
      </c>
      <c r="E32">
        <v>3.6569999999999998E-2</v>
      </c>
      <c r="F32">
        <v>8.2273257434532421E-5</v>
      </c>
      <c r="G32">
        <v>3.5433850448098432</v>
      </c>
      <c r="H32">
        <v>-1.4368750396619561</v>
      </c>
      <c r="I32">
        <v>-1.4429442997379081</v>
      </c>
    </row>
    <row r="33" spans="1:9" x14ac:dyDescent="0.2">
      <c r="A33" s="27" t="s">
        <v>6</v>
      </c>
      <c r="B33">
        <v>589</v>
      </c>
      <c r="C33">
        <v>4403.3</v>
      </c>
      <c r="D33">
        <v>3.2285187522040708</v>
      </c>
      <c r="E33">
        <v>3.2891999999999998E-2</v>
      </c>
      <c r="F33">
        <v>5.9363288318623168E-5</v>
      </c>
      <c r="G33">
        <v>3.6437782752633301</v>
      </c>
      <c r="H33">
        <v>-1.482909718412877</v>
      </c>
      <c r="I33">
        <v>-1.487023391819934</v>
      </c>
    </row>
    <row r="34" spans="1:9" x14ac:dyDescent="0.2">
      <c r="A34" s="27" t="s">
        <v>6</v>
      </c>
      <c r="B34">
        <v>655</v>
      </c>
      <c r="C34">
        <v>5438.6</v>
      </c>
      <c r="D34">
        <v>5.8938762947467591</v>
      </c>
      <c r="E34">
        <v>2.9750999999999989E-2</v>
      </c>
      <c r="F34">
        <v>5.8849148016111702E-5</v>
      </c>
      <c r="G34">
        <v>3.7354871183516791</v>
      </c>
      <c r="H34">
        <v>-1.526498432046927</v>
      </c>
      <c r="I34">
        <v>-1.527289478696183</v>
      </c>
    </row>
    <row r="35" spans="1:9" x14ac:dyDescent="0.2">
      <c r="A35" s="27" t="s">
        <v>6</v>
      </c>
      <c r="B35">
        <v>665</v>
      </c>
      <c r="C35">
        <v>8619</v>
      </c>
      <c r="D35">
        <v>0</v>
      </c>
      <c r="E35">
        <v>2.324E-2</v>
      </c>
      <c r="F35">
        <v>1.1564823173178709E-18</v>
      </c>
      <c r="G35">
        <v>3.9354568807116102</v>
      </c>
      <c r="H35">
        <v>-1.6337638762817071</v>
      </c>
      <c r="I35">
        <v>-1.6150890796141759</v>
      </c>
    </row>
    <row r="36" spans="1:9" x14ac:dyDescent="0.2">
      <c r="A36" s="27" t="s">
        <v>7</v>
      </c>
      <c r="B36">
        <v>65</v>
      </c>
      <c r="C36">
        <v>52.1</v>
      </c>
      <c r="D36">
        <v>1.303414319734477</v>
      </c>
      <c r="E36">
        <v>0.240152</v>
      </c>
      <c r="F36">
        <v>8.7450770659205108E-3</v>
      </c>
      <c r="G36">
        <v>1.716837723299524</v>
      </c>
      <c r="H36">
        <v>-0.61951379217993485</v>
      </c>
      <c r="I36">
        <v>-0.60123305459169774</v>
      </c>
    </row>
    <row r="37" spans="1:9" x14ac:dyDescent="0.2">
      <c r="A37" s="27" t="s">
        <v>7</v>
      </c>
      <c r="B37">
        <v>130</v>
      </c>
      <c r="C37">
        <v>209.8</v>
      </c>
      <c r="D37">
        <v>2.6364959911046908</v>
      </c>
      <c r="E37">
        <v>0.13777800000000001</v>
      </c>
      <c r="F37">
        <v>3.3789050823536831E-3</v>
      </c>
      <c r="G37">
        <v>2.3218054838575388</v>
      </c>
      <c r="H37">
        <v>-0.8608201238026838</v>
      </c>
      <c r="I37">
        <v>-0.86610594476926028</v>
      </c>
    </row>
    <row r="38" spans="1:9" x14ac:dyDescent="0.2">
      <c r="A38" s="27" t="s">
        <v>7</v>
      </c>
      <c r="B38">
        <v>196</v>
      </c>
      <c r="C38">
        <v>468.5</v>
      </c>
      <c r="D38">
        <v>5.497979426823802</v>
      </c>
      <c r="E38">
        <v>9.8486999999999991E-2</v>
      </c>
      <c r="F38">
        <v>1.65567646463781E-3</v>
      </c>
      <c r="G38">
        <v>2.6707095952237969</v>
      </c>
      <c r="H38">
        <v>-1.00662109133858</v>
      </c>
      <c r="I38">
        <v>-1.018866548552795</v>
      </c>
    </row>
    <row r="39" spans="1:9" x14ac:dyDescent="0.2">
      <c r="A39" s="27" t="s">
        <v>7</v>
      </c>
      <c r="B39">
        <v>262</v>
      </c>
      <c r="C39">
        <v>827.9</v>
      </c>
      <c r="D39">
        <v>7.2853734747551986</v>
      </c>
      <c r="E39">
        <v>7.5895999999999991E-2</v>
      </c>
      <c r="F39">
        <v>1.2227766217370469E-3</v>
      </c>
      <c r="G39">
        <v>2.9179778825929081</v>
      </c>
      <c r="H39">
        <v>-1.119781112427374</v>
      </c>
      <c r="I39">
        <v>-1.1271279637797831</v>
      </c>
    </row>
    <row r="40" spans="1:9" x14ac:dyDescent="0.2">
      <c r="A40" s="27" t="s">
        <v>7</v>
      </c>
      <c r="B40">
        <v>327</v>
      </c>
      <c r="C40">
        <v>1281.5999999999999</v>
      </c>
      <c r="D40">
        <v>8.6976369715508852</v>
      </c>
      <c r="E40">
        <v>6.2158999999999999E-2</v>
      </c>
      <c r="F40">
        <v>9.4199368952828475E-4</v>
      </c>
      <c r="G40">
        <v>3.107752498740163</v>
      </c>
      <c r="H40">
        <v>-1.2064959809828071</v>
      </c>
      <c r="I40">
        <v>-1.210216938661512</v>
      </c>
    </row>
    <row r="41" spans="1:9" x14ac:dyDescent="0.2">
      <c r="A41" s="27" t="s">
        <v>7</v>
      </c>
      <c r="B41">
        <v>393</v>
      </c>
      <c r="C41">
        <v>1852.8</v>
      </c>
      <c r="D41">
        <v>6.5959583584697272</v>
      </c>
      <c r="E41">
        <v>5.2861000000000012E-2</v>
      </c>
      <c r="F41">
        <v>4.718484926329638E-4</v>
      </c>
      <c r="G41">
        <v>3.2678285420473419</v>
      </c>
      <c r="H41">
        <v>-1.2768646253440361</v>
      </c>
      <c r="I41">
        <v>-1.280302994486789</v>
      </c>
    </row>
    <row r="42" spans="1:9" x14ac:dyDescent="0.2">
      <c r="A42" s="27" t="s">
        <v>7</v>
      </c>
      <c r="B42">
        <v>458</v>
      </c>
      <c r="C42">
        <v>2520.5</v>
      </c>
      <c r="D42">
        <v>6.5357988545140113</v>
      </c>
      <c r="E42">
        <v>4.6466E-2</v>
      </c>
      <c r="F42">
        <v>3.3239267273646157E-4</v>
      </c>
      <c r="G42">
        <v>3.4014867017741688</v>
      </c>
      <c r="H42">
        <v>-1.332864711913158</v>
      </c>
      <c r="I42">
        <v>-1.3388225146509769</v>
      </c>
    </row>
    <row r="43" spans="1:9" x14ac:dyDescent="0.2">
      <c r="A43" s="27" t="s">
        <v>7</v>
      </c>
      <c r="B43">
        <v>524</v>
      </c>
      <c r="C43">
        <v>3331.1</v>
      </c>
      <c r="D43">
        <v>13.673534859558281</v>
      </c>
      <c r="E43">
        <v>4.0835000000000003E-2</v>
      </c>
      <c r="F43">
        <v>1.570650962004112E-4</v>
      </c>
      <c r="G43">
        <v>3.5225876704565038</v>
      </c>
      <c r="H43">
        <v>-1.388967440075479</v>
      </c>
      <c r="I43">
        <v>-1.391844122858009</v>
      </c>
    </row>
    <row r="44" spans="1:9" x14ac:dyDescent="0.2">
      <c r="A44" s="27" t="s">
        <v>7</v>
      </c>
      <c r="B44">
        <v>589</v>
      </c>
      <c r="C44">
        <v>4192.1000000000004</v>
      </c>
      <c r="D44">
        <v>11.21749625461146</v>
      </c>
      <c r="E44">
        <v>3.6700999999999998E-2</v>
      </c>
      <c r="F44">
        <v>4.61266372789805E-5</v>
      </c>
      <c r="G44">
        <v>3.6224316339303919</v>
      </c>
      <c r="H44">
        <v>-1.43532210227202</v>
      </c>
      <c r="I44">
        <v>-1.4355587815494379</v>
      </c>
    </row>
    <row r="45" spans="1:9" x14ac:dyDescent="0.2">
      <c r="A45" s="27" t="s">
        <v>7</v>
      </c>
      <c r="B45">
        <v>655</v>
      </c>
      <c r="C45">
        <v>5196.1000000000004</v>
      </c>
      <c r="D45">
        <v>11.75438452474461</v>
      </c>
      <c r="E45">
        <v>3.3259999999999998E-2</v>
      </c>
      <c r="F45">
        <v>2.0275875100993919E-5</v>
      </c>
      <c r="G45">
        <v>3.715677500566942</v>
      </c>
      <c r="H45">
        <v>-1.4780777551165001</v>
      </c>
      <c r="I45">
        <v>-1.476384597077778</v>
      </c>
    </row>
    <row r="46" spans="1:9" x14ac:dyDescent="0.2">
      <c r="A46" s="27" t="s">
        <v>7</v>
      </c>
      <c r="B46">
        <v>665</v>
      </c>
      <c r="C46">
        <v>8269</v>
      </c>
      <c r="D46">
        <v>0</v>
      </c>
      <c r="E46">
        <v>2.5950000000000001E-2</v>
      </c>
      <c r="F46">
        <v>0</v>
      </c>
      <c r="G46">
        <v>3.9174529919296641</v>
      </c>
      <c r="H46">
        <v>-1.5858626378155229</v>
      </c>
      <c r="I46">
        <v>-1.564727912290055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5AFA4-8F1B-A741-95DC-BBCE6D22B32F}">
  <dimension ref="A1:I46"/>
  <sheetViews>
    <sheetView tabSelected="1" zoomScale="150" zoomScaleNormal="150" workbookViewId="0">
      <selection activeCell="C1" sqref="C1"/>
    </sheetView>
  </sheetViews>
  <sheetFormatPr baseColWidth="10" defaultRowHeight="15" x14ac:dyDescent="0.2"/>
  <sheetData>
    <row r="1" spans="1:9" x14ac:dyDescent="0.2">
      <c r="A1" s="27"/>
      <c r="B1" s="27"/>
      <c r="C1" s="27"/>
      <c r="D1" s="27"/>
      <c r="E1" s="27"/>
      <c r="F1" s="27"/>
      <c r="G1" s="27"/>
      <c r="H1" s="27"/>
      <c r="I1" s="27"/>
    </row>
    <row r="2" spans="1:9" x14ac:dyDescent="0.2">
      <c r="A2" s="31" t="s">
        <v>25</v>
      </c>
      <c r="B2" s="28" t="s">
        <v>26</v>
      </c>
      <c r="C2" s="29" t="s">
        <v>27</v>
      </c>
      <c r="D2" s="29" t="s">
        <v>28</v>
      </c>
      <c r="E2" s="29" t="s">
        <v>29</v>
      </c>
      <c r="F2" s="29" t="s">
        <v>30</v>
      </c>
      <c r="G2" s="29" t="s">
        <v>31</v>
      </c>
      <c r="H2" s="29" t="s">
        <v>32</v>
      </c>
      <c r="I2" s="29" t="s">
        <v>33</v>
      </c>
    </row>
    <row r="3" spans="1:9" x14ac:dyDescent="0.2">
      <c r="A3" s="27" t="s">
        <v>4</v>
      </c>
      <c r="B3">
        <v>65</v>
      </c>
      <c r="C3">
        <v>54.1</v>
      </c>
      <c r="D3">
        <v>2.1105554824368968</v>
      </c>
      <c r="E3">
        <v>0.21757000000000001</v>
      </c>
      <c r="F3">
        <v>4.4148104275394569E-3</v>
      </c>
      <c r="G3">
        <v>1.733197265106569</v>
      </c>
      <c r="H3">
        <v>-0.66240098826001137</v>
      </c>
      <c r="I3">
        <v>-0.6483143837514157</v>
      </c>
    </row>
    <row r="4" spans="1:9" x14ac:dyDescent="0.2">
      <c r="A4" s="27" t="s">
        <v>4</v>
      </c>
      <c r="B4">
        <v>131</v>
      </c>
      <c r="C4">
        <v>216.5</v>
      </c>
      <c r="D4">
        <v>2.486630920207769</v>
      </c>
      <c r="E4">
        <v>0.122269</v>
      </c>
      <c r="F4">
        <v>1.696034885647501E-3</v>
      </c>
      <c r="G4">
        <v>2.3354579006893839</v>
      </c>
      <c r="H4">
        <v>-0.91268363973813083</v>
      </c>
      <c r="I4">
        <v>-0.9100379661162683</v>
      </c>
    </row>
    <row r="5" spans="1:9" x14ac:dyDescent="0.2">
      <c r="A5" s="27" t="s">
        <v>4</v>
      </c>
      <c r="B5">
        <v>196</v>
      </c>
      <c r="C5">
        <v>475.2</v>
      </c>
      <c r="D5">
        <v>4.6804558182581601</v>
      </c>
      <c r="E5">
        <v>8.8970999999999995E-2</v>
      </c>
      <c r="F5">
        <v>1.258028837330669E-3</v>
      </c>
      <c r="G5">
        <v>2.6768764319731368</v>
      </c>
      <c r="H5">
        <v>-1.050751528100486</v>
      </c>
      <c r="I5">
        <v>-1.0584077512456891</v>
      </c>
    </row>
    <row r="6" spans="1:9" x14ac:dyDescent="0.2">
      <c r="A6" s="27" t="s">
        <v>4</v>
      </c>
      <c r="B6">
        <v>262</v>
      </c>
      <c r="C6">
        <v>867.1</v>
      </c>
      <c r="D6">
        <v>5.5486735151545714</v>
      </c>
      <c r="E6">
        <v>6.9492999999999999E-2</v>
      </c>
      <c r="F6">
        <v>7.1478831365190431E-4</v>
      </c>
      <c r="G6">
        <v>2.9380691862233861</v>
      </c>
      <c r="H6">
        <v>-1.1580589395031271</v>
      </c>
      <c r="I6">
        <v>-1.1719139299517971</v>
      </c>
    </row>
    <row r="7" spans="1:9" x14ac:dyDescent="0.2">
      <c r="A7" s="27" t="s">
        <v>4</v>
      </c>
      <c r="B7">
        <v>328</v>
      </c>
      <c r="C7">
        <v>1347.8</v>
      </c>
      <c r="D7">
        <v>9.7431457388714495</v>
      </c>
      <c r="E7">
        <v>5.6467999999999997E-2</v>
      </c>
      <c r="F7">
        <v>3.919688196216065E-4</v>
      </c>
      <c r="G7">
        <v>3.129625452035683</v>
      </c>
      <c r="H7">
        <v>-1.2481975939586329</v>
      </c>
      <c r="I7">
        <v>-1.255158274925984</v>
      </c>
    </row>
    <row r="8" spans="1:9" x14ac:dyDescent="0.2">
      <c r="A8" s="27" t="s">
        <v>4</v>
      </c>
      <c r="B8">
        <v>393</v>
      </c>
      <c r="C8">
        <v>1958</v>
      </c>
      <c r="D8">
        <v>6.7214416443035319</v>
      </c>
      <c r="E8">
        <v>4.8088000000000013E-2</v>
      </c>
      <c r="F8">
        <v>1.7630655121123509E-4</v>
      </c>
      <c r="G8">
        <v>3.291812687467119</v>
      </c>
      <c r="H8">
        <v>-1.31796328503944</v>
      </c>
      <c r="I8">
        <v>-1.3256397604540711</v>
      </c>
    </row>
    <row r="9" spans="1:9" x14ac:dyDescent="0.2">
      <c r="A9" s="27" t="s">
        <v>4</v>
      </c>
      <c r="B9">
        <v>459</v>
      </c>
      <c r="C9">
        <v>2654.7</v>
      </c>
      <c r="D9">
        <v>7.4893257373411126</v>
      </c>
      <c r="E9">
        <v>4.1514000000000002E-2</v>
      </c>
      <c r="F9">
        <v>1.0577964517492631E-4</v>
      </c>
      <c r="G9">
        <v>3.4240154498219888</v>
      </c>
      <c r="H9">
        <v>-1.3818054190128619</v>
      </c>
      <c r="I9">
        <v>-1.383090934443822</v>
      </c>
    </row>
    <row r="10" spans="1:9" x14ac:dyDescent="0.2">
      <c r="A10" s="27" t="s">
        <v>4</v>
      </c>
      <c r="B10">
        <v>524</v>
      </c>
      <c r="C10">
        <v>3471.9</v>
      </c>
      <c r="D10">
        <v>7.8760537213900612</v>
      </c>
      <c r="E10">
        <v>3.7012999999999997E-2</v>
      </c>
      <c r="F10">
        <v>7.2817122528518924E-5</v>
      </c>
      <c r="G10">
        <v>3.5405672078426962</v>
      </c>
      <c r="H10">
        <v>-1.43164571277997</v>
      </c>
      <c r="I10">
        <v>-1.4337406728425159</v>
      </c>
    </row>
    <row r="11" spans="1:9" x14ac:dyDescent="0.2">
      <c r="A11" s="27" t="s">
        <v>4</v>
      </c>
      <c r="B11">
        <v>590</v>
      </c>
      <c r="C11">
        <v>4413.5</v>
      </c>
      <c r="D11">
        <v>4.8125992053266922</v>
      </c>
      <c r="E11">
        <v>3.3245999999999998E-2</v>
      </c>
      <c r="F11">
        <v>4.7215816559001928E-5</v>
      </c>
      <c r="G11">
        <v>3.6447831309233569</v>
      </c>
      <c r="H11">
        <v>-1.4782605994564519</v>
      </c>
      <c r="I11">
        <v>-1.4790296442887989</v>
      </c>
    </row>
    <row r="12" spans="1:9" x14ac:dyDescent="0.2">
      <c r="A12" s="27" t="s">
        <v>4</v>
      </c>
      <c r="B12">
        <v>656</v>
      </c>
      <c r="C12">
        <v>5462.5</v>
      </c>
      <c r="D12">
        <v>5.2983225857078793</v>
      </c>
      <c r="E12">
        <v>3.0091E-2</v>
      </c>
      <c r="F12">
        <v>1.7285189549952141E-5</v>
      </c>
      <c r="G12">
        <v>3.7373914499784782</v>
      </c>
      <c r="H12">
        <v>-1.521563379316567</v>
      </c>
      <c r="I12">
        <v>-1.5192743150972079</v>
      </c>
    </row>
    <row r="13" spans="1:9" x14ac:dyDescent="0.2">
      <c r="A13" s="27" t="s">
        <v>4</v>
      </c>
      <c r="B13">
        <v>666</v>
      </c>
      <c r="C13">
        <v>8615</v>
      </c>
      <c r="D13">
        <v>0</v>
      </c>
      <c r="E13">
        <v>2.3630000000000009E-2</v>
      </c>
      <c r="F13">
        <v>1.1564823173178709E-18</v>
      </c>
      <c r="G13">
        <v>3.9352552817840469</v>
      </c>
      <c r="H13">
        <v>-1.6265362783676309</v>
      </c>
      <c r="I13">
        <v>-1.6052597304157381</v>
      </c>
    </row>
    <row r="14" spans="1:9" x14ac:dyDescent="0.2">
      <c r="A14" s="27" t="s">
        <v>5</v>
      </c>
      <c r="B14" s="22">
        <v>65</v>
      </c>
      <c r="C14" s="22">
        <v>47.8</v>
      </c>
      <c r="D14" s="22">
        <v>1.481741</v>
      </c>
      <c r="E14" s="22">
        <v>0.20963699999999999</v>
      </c>
      <c r="F14" s="22">
        <v>8.3999999999999995E-3</v>
      </c>
      <c r="G14" s="22">
        <v>1.6794279999999999</v>
      </c>
      <c r="H14" s="22">
        <v>-0.67852999999999997</v>
      </c>
      <c r="I14" s="22">
        <v>-0.65744999999999998</v>
      </c>
    </row>
    <row r="15" spans="1:9" x14ac:dyDescent="0.2">
      <c r="A15" s="27" t="s">
        <v>5</v>
      </c>
      <c r="B15" s="22">
        <v>130</v>
      </c>
      <c r="C15" s="22">
        <v>201.9</v>
      </c>
      <c r="D15" s="22">
        <v>3.8135720000000002</v>
      </c>
      <c r="E15" s="22">
        <v>0.12109300000000001</v>
      </c>
      <c r="F15" s="22">
        <v>3.5070000000000001E-3</v>
      </c>
      <c r="G15" s="22">
        <v>2.3051360000000001</v>
      </c>
      <c r="H15" s="22">
        <v>-0.91688000000000003</v>
      </c>
      <c r="I15" s="22">
        <v>-0.93220999999999998</v>
      </c>
    </row>
    <row r="16" spans="1:9" x14ac:dyDescent="0.2">
      <c r="A16" s="27" t="s">
        <v>5</v>
      </c>
      <c r="B16" s="22">
        <v>196</v>
      </c>
      <c r="C16" s="22">
        <v>453</v>
      </c>
      <c r="D16" s="22">
        <v>4.753946</v>
      </c>
      <c r="E16" s="22">
        <v>8.2914000000000002E-2</v>
      </c>
      <c r="F16" s="22">
        <v>1.122E-3</v>
      </c>
      <c r="G16" s="22">
        <v>2.6560980000000001</v>
      </c>
      <c r="H16" s="22">
        <v>-1.0813699999999999</v>
      </c>
      <c r="I16" s="22">
        <v>-1.08632</v>
      </c>
    </row>
    <row r="17" spans="1:9" x14ac:dyDescent="0.2">
      <c r="A17" s="27" t="s">
        <v>5</v>
      </c>
      <c r="B17" s="22">
        <v>262</v>
      </c>
      <c r="C17" s="22">
        <v>828.6</v>
      </c>
      <c r="D17" s="22">
        <v>7.0019049999999998</v>
      </c>
      <c r="E17" s="22">
        <v>6.3450999999999994E-2</v>
      </c>
      <c r="F17" s="22">
        <v>5.8100000000000003E-4</v>
      </c>
      <c r="G17" s="22">
        <v>2.918345</v>
      </c>
      <c r="H17" s="22">
        <v>-1.19756</v>
      </c>
      <c r="I17" s="22">
        <v>-1.2014800000000001</v>
      </c>
    </row>
    <row r="18" spans="1:9" x14ac:dyDescent="0.2">
      <c r="A18" s="27" t="s">
        <v>5</v>
      </c>
      <c r="B18" s="22">
        <v>327</v>
      </c>
      <c r="C18" s="22">
        <v>1287.8</v>
      </c>
      <c r="D18" s="22">
        <v>4.2551930000000002</v>
      </c>
      <c r="E18" s="22">
        <v>5.2977999999999997E-2</v>
      </c>
      <c r="F18" s="22">
        <v>4.0900000000000002E-4</v>
      </c>
      <c r="G18" s="22">
        <v>3.1098479999999999</v>
      </c>
      <c r="H18" s="22">
        <v>-1.2759</v>
      </c>
      <c r="I18" s="22">
        <v>-1.2855700000000001</v>
      </c>
    </row>
    <row r="19" spans="1:9" x14ac:dyDescent="0.2">
      <c r="A19" s="27" t="s">
        <v>5</v>
      </c>
      <c r="B19" s="22">
        <v>393</v>
      </c>
      <c r="C19" s="22">
        <v>1847</v>
      </c>
      <c r="D19" s="22">
        <v>6.2307480000000002</v>
      </c>
      <c r="E19" s="22">
        <v>4.4794E-2</v>
      </c>
      <c r="F19" s="22">
        <v>2.92E-4</v>
      </c>
      <c r="G19" s="22">
        <v>3.266467</v>
      </c>
      <c r="H19" s="22">
        <v>-1.3487800000000001</v>
      </c>
      <c r="I19" s="22">
        <v>-1.3543400000000001</v>
      </c>
    </row>
    <row r="20" spans="1:9" x14ac:dyDescent="0.2">
      <c r="A20" s="27" t="s">
        <v>5</v>
      </c>
      <c r="B20" s="22">
        <v>458</v>
      </c>
      <c r="C20" s="22">
        <v>2522.6999999999998</v>
      </c>
      <c r="D20" s="22">
        <v>6.4412729999999998</v>
      </c>
      <c r="E20" s="22">
        <v>3.8827E-2</v>
      </c>
      <c r="F20" s="22">
        <v>1.6200000000000001E-4</v>
      </c>
      <c r="G20" s="22">
        <v>3.4018660000000001</v>
      </c>
      <c r="H20" s="22">
        <v>-1.4108700000000001</v>
      </c>
      <c r="I20" s="22">
        <v>-1.4137999999999999</v>
      </c>
    </row>
    <row r="21" spans="1:9" x14ac:dyDescent="0.2">
      <c r="A21" s="27" t="s">
        <v>5</v>
      </c>
      <c r="B21" s="22">
        <v>524</v>
      </c>
      <c r="C21" s="22">
        <v>3294.9</v>
      </c>
      <c r="D21" s="22">
        <v>4.3879890000000001</v>
      </c>
      <c r="E21" s="22">
        <v>3.4486999999999997E-2</v>
      </c>
      <c r="F21" s="22">
        <v>1.06E-4</v>
      </c>
      <c r="G21" s="22">
        <v>3.5178419999999999</v>
      </c>
      <c r="H21" s="22">
        <v>-1.46234</v>
      </c>
      <c r="I21" s="22">
        <v>-1.4647300000000001</v>
      </c>
    </row>
    <row r="22" spans="1:9" x14ac:dyDescent="0.2">
      <c r="A22" s="27" t="s">
        <v>5</v>
      </c>
      <c r="B22" s="22">
        <v>589</v>
      </c>
      <c r="C22" s="22">
        <v>4152.6000000000004</v>
      </c>
      <c r="D22" s="22">
        <v>5.2877219999999996</v>
      </c>
      <c r="E22" s="22">
        <v>3.0827E-2</v>
      </c>
      <c r="F22" s="22">
        <v>7.7399999999999998E-5</v>
      </c>
      <c r="G22" s="22">
        <v>3.6183200000000002</v>
      </c>
      <c r="H22" s="22">
        <v>-1.5110699999999999</v>
      </c>
      <c r="I22" s="22">
        <v>-1.50885</v>
      </c>
    </row>
    <row r="23" spans="1:9" x14ac:dyDescent="0.2">
      <c r="A23" s="27" t="s">
        <v>5</v>
      </c>
      <c r="B23" s="22">
        <v>655</v>
      </c>
      <c r="C23" s="22">
        <v>5122</v>
      </c>
      <c r="D23" s="22">
        <v>3.2455099999999999</v>
      </c>
      <c r="E23" s="22">
        <v>2.7997999999999999E-2</v>
      </c>
      <c r="F23" s="22">
        <v>6.97E-5</v>
      </c>
      <c r="G23" s="22">
        <v>3.7094399999999998</v>
      </c>
      <c r="H23" s="22">
        <v>-1.55287</v>
      </c>
      <c r="I23" s="22">
        <v>-1.5488599999999999</v>
      </c>
    </row>
    <row r="24" spans="1:9" x14ac:dyDescent="0.2">
      <c r="A24" s="27" t="s">
        <v>5</v>
      </c>
      <c r="B24" s="22">
        <v>665</v>
      </c>
      <c r="C24" s="22">
        <v>8165</v>
      </c>
      <c r="D24" s="22">
        <v>0</v>
      </c>
      <c r="E24" s="22">
        <v>2.2120000000000001E-2</v>
      </c>
      <c r="F24" s="22">
        <v>0</v>
      </c>
      <c r="G24" s="22">
        <v>3.911956</v>
      </c>
      <c r="H24" s="22">
        <v>-1.6552100000000001</v>
      </c>
      <c r="I24" s="22">
        <v>-1.6377900000000001</v>
      </c>
    </row>
    <row r="25" spans="1:9" x14ac:dyDescent="0.2">
      <c r="A25" s="27" t="s">
        <v>6</v>
      </c>
      <c r="B25">
        <v>65</v>
      </c>
      <c r="C25">
        <v>50.3</v>
      </c>
      <c r="D25">
        <v>1.932471072084766</v>
      </c>
      <c r="E25">
        <v>0.22636899999999999</v>
      </c>
      <c r="F25">
        <v>9.6514480721231095E-3</v>
      </c>
      <c r="G25">
        <v>1.7015679850559271</v>
      </c>
      <c r="H25">
        <v>-0.64518304767258239</v>
      </c>
      <c r="I25">
        <v>-0.63426802337529631</v>
      </c>
    </row>
    <row r="26" spans="1:9" x14ac:dyDescent="0.2">
      <c r="A26" s="27" t="s">
        <v>6</v>
      </c>
      <c r="B26">
        <v>130</v>
      </c>
      <c r="C26">
        <v>206.7</v>
      </c>
      <c r="D26">
        <v>2.6459612829954851</v>
      </c>
      <c r="E26">
        <v>0.125886</v>
      </c>
      <c r="F26">
        <v>3.0218460877049621E-3</v>
      </c>
      <c r="G26">
        <v>2.3153404766272878</v>
      </c>
      <c r="H26">
        <v>-0.90002256584785312</v>
      </c>
      <c r="I26">
        <v>-0.90375366549658631</v>
      </c>
    </row>
    <row r="27" spans="1:9" x14ac:dyDescent="0.2">
      <c r="A27" s="27" t="s">
        <v>6</v>
      </c>
      <c r="B27">
        <v>196</v>
      </c>
      <c r="C27">
        <v>482.2</v>
      </c>
      <c r="D27">
        <v>4.5504578524217392</v>
      </c>
      <c r="E27">
        <v>8.7340000000000001E-2</v>
      </c>
      <c r="F27">
        <v>1.83016331997387E-3</v>
      </c>
      <c r="G27">
        <v>2.6832272060414351</v>
      </c>
      <c r="H27">
        <v>-1.0587868124146791</v>
      </c>
      <c r="I27">
        <v>-1.06527962644387</v>
      </c>
    </row>
    <row r="28" spans="1:9" x14ac:dyDescent="0.2">
      <c r="A28" s="27" t="s">
        <v>6</v>
      </c>
      <c r="B28">
        <v>262</v>
      </c>
      <c r="C28">
        <v>861.6</v>
      </c>
      <c r="D28">
        <v>7.7189521453512224</v>
      </c>
      <c r="E28">
        <v>6.6927E-2</v>
      </c>
      <c r="F28">
        <v>7.3840977783341984E-4</v>
      </c>
      <c r="G28">
        <v>2.9353056902899248</v>
      </c>
      <c r="H28">
        <v>-1.174398641792348</v>
      </c>
      <c r="I28">
        <v>-1.1759583113402059</v>
      </c>
    </row>
    <row r="29" spans="1:9" x14ac:dyDescent="0.2">
      <c r="A29" s="27" t="s">
        <v>6</v>
      </c>
      <c r="B29">
        <v>327</v>
      </c>
      <c r="C29">
        <v>1352.6</v>
      </c>
      <c r="D29">
        <v>6.8737827205177844</v>
      </c>
      <c r="E29">
        <v>5.5237000000000001E-2</v>
      </c>
      <c r="F29">
        <v>4.2723672855013559E-4</v>
      </c>
      <c r="G29">
        <v>3.1311693830893241</v>
      </c>
      <c r="H29">
        <v>-1.2577699166036489</v>
      </c>
      <c r="I29">
        <v>-1.26195508334796</v>
      </c>
    </row>
    <row r="30" spans="1:9" x14ac:dyDescent="0.2">
      <c r="A30" s="27" t="s">
        <v>6</v>
      </c>
      <c r="B30">
        <v>393</v>
      </c>
      <c r="C30">
        <v>1946</v>
      </c>
      <c r="D30">
        <v>11.99536947696439</v>
      </c>
      <c r="E30">
        <v>4.6784000000000013E-2</v>
      </c>
      <c r="F30">
        <v>2.1572204337990121E-4</v>
      </c>
      <c r="G30">
        <v>3.2891428359323331</v>
      </c>
      <c r="H30">
        <v>-1.329902649058252</v>
      </c>
      <c r="I30">
        <v>-1.3313156004159781</v>
      </c>
    </row>
    <row r="31" spans="1:9" x14ac:dyDescent="0.2">
      <c r="A31" s="27" t="s">
        <v>6</v>
      </c>
      <c r="B31">
        <v>458</v>
      </c>
      <c r="C31">
        <v>2656.6</v>
      </c>
      <c r="D31">
        <v>6.4069406809247793</v>
      </c>
      <c r="E31">
        <v>4.0791000000000001E-2</v>
      </c>
      <c r="F31">
        <v>1.67573864310638E-4</v>
      </c>
      <c r="G31">
        <v>3.4243261683092951</v>
      </c>
      <c r="H31">
        <v>-1.38943564773124</v>
      </c>
      <c r="I31">
        <v>-1.390669787235975</v>
      </c>
    </row>
    <row r="32" spans="1:9" x14ac:dyDescent="0.2">
      <c r="A32" s="27" t="s">
        <v>6</v>
      </c>
      <c r="B32">
        <v>524</v>
      </c>
      <c r="C32">
        <v>3494.5</v>
      </c>
      <c r="D32">
        <v>5.2667721508423817</v>
      </c>
      <c r="E32">
        <v>3.6569999999999998E-2</v>
      </c>
      <c r="F32">
        <v>8.2273257434532421E-5</v>
      </c>
      <c r="G32">
        <v>3.5433850448098432</v>
      </c>
      <c r="H32">
        <v>-1.4368750396619561</v>
      </c>
      <c r="I32">
        <v>-1.4429442997379081</v>
      </c>
    </row>
    <row r="33" spans="1:9" x14ac:dyDescent="0.2">
      <c r="A33" s="27" t="s">
        <v>6</v>
      </c>
      <c r="B33">
        <v>589</v>
      </c>
      <c r="C33">
        <v>4403.3</v>
      </c>
      <c r="D33">
        <v>3.2285187522040708</v>
      </c>
      <c r="E33">
        <v>3.2891999999999998E-2</v>
      </c>
      <c r="F33">
        <v>5.9363288318623168E-5</v>
      </c>
      <c r="G33">
        <v>3.6437782752633301</v>
      </c>
      <c r="H33">
        <v>-1.482909718412877</v>
      </c>
      <c r="I33">
        <v>-1.487023391819934</v>
      </c>
    </row>
    <row r="34" spans="1:9" x14ac:dyDescent="0.2">
      <c r="A34" s="27" t="s">
        <v>6</v>
      </c>
      <c r="B34">
        <v>655</v>
      </c>
      <c r="C34">
        <v>5438.6</v>
      </c>
      <c r="D34">
        <v>5.8938762947467591</v>
      </c>
      <c r="E34">
        <v>2.9750999999999989E-2</v>
      </c>
      <c r="F34">
        <v>5.8849148016111702E-5</v>
      </c>
      <c r="G34">
        <v>3.7354871183516791</v>
      </c>
      <c r="H34">
        <v>-1.526498432046927</v>
      </c>
      <c r="I34">
        <v>-1.527289478696183</v>
      </c>
    </row>
    <row r="35" spans="1:9" x14ac:dyDescent="0.2">
      <c r="A35" s="27" t="s">
        <v>6</v>
      </c>
      <c r="B35">
        <v>665</v>
      </c>
      <c r="C35">
        <v>8619</v>
      </c>
      <c r="D35">
        <v>0</v>
      </c>
      <c r="E35">
        <v>2.324E-2</v>
      </c>
      <c r="F35">
        <v>1.1564823173178709E-18</v>
      </c>
      <c r="G35">
        <v>3.9354568807116102</v>
      </c>
      <c r="H35">
        <v>-1.6337638762817071</v>
      </c>
      <c r="I35">
        <v>-1.6150890796141759</v>
      </c>
    </row>
    <row r="36" spans="1:9" x14ac:dyDescent="0.2">
      <c r="A36" s="27" t="s">
        <v>7</v>
      </c>
      <c r="B36">
        <v>65</v>
      </c>
      <c r="C36">
        <v>52.1</v>
      </c>
      <c r="D36">
        <v>1.303414319734477</v>
      </c>
      <c r="E36">
        <v>0.240152</v>
      </c>
      <c r="F36">
        <v>8.7450770659205108E-3</v>
      </c>
      <c r="G36">
        <v>1.716837723299524</v>
      </c>
      <c r="H36">
        <v>-0.61951379217993485</v>
      </c>
      <c r="I36">
        <v>-0.60123305459169774</v>
      </c>
    </row>
    <row r="37" spans="1:9" x14ac:dyDescent="0.2">
      <c r="A37" s="27" t="s">
        <v>7</v>
      </c>
      <c r="B37">
        <v>130</v>
      </c>
      <c r="C37">
        <v>209.8</v>
      </c>
      <c r="D37">
        <v>2.6364959911046908</v>
      </c>
      <c r="E37">
        <v>0.13777800000000001</v>
      </c>
      <c r="F37">
        <v>3.3789050823536831E-3</v>
      </c>
      <c r="G37">
        <v>2.3218054838575388</v>
      </c>
      <c r="H37">
        <v>-0.8608201238026838</v>
      </c>
      <c r="I37">
        <v>-0.86610594476926028</v>
      </c>
    </row>
    <row r="38" spans="1:9" x14ac:dyDescent="0.2">
      <c r="A38" s="27" t="s">
        <v>7</v>
      </c>
      <c r="B38">
        <v>196</v>
      </c>
      <c r="C38">
        <v>468.5</v>
      </c>
      <c r="D38">
        <v>5.497979426823802</v>
      </c>
      <c r="E38">
        <v>9.8486999999999991E-2</v>
      </c>
      <c r="F38">
        <v>1.65567646463781E-3</v>
      </c>
      <c r="G38">
        <v>2.6707095952237969</v>
      </c>
      <c r="H38">
        <v>-1.00662109133858</v>
      </c>
      <c r="I38">
        <v>-1.018866548552795</v>
      </c>
    </row>
    <row r="39" spans="1:9" x14ac:dyDescent="0.2">
      <c r="A39" s="27" t="s">
        <v>7</v>
      </c>
      <c r="B39">
        <v>262</v>
      </c>
      <c r="C39">
        <v>827.9</v>
      </c>
      <c r="D39">
        <v>7.2853734747551986</v>
      </c>
      <c r="E39">
        <v>7.5895999999999991E-2</v>
      </c>
      <c r="F39">
        <v>1.2227766217370469E-3</v>
      </c>
      <c r="G39">
        <v>2.9179778825929081</v>
      </c>
      <c r="H39">
        <v>-1.119781112427374</v>
      </c>
      <c r="I39">
        <v>-1.1271279637797831</v>
      </c>
    </row>
    <row r="40" spans="1:9" x14ac:dyDescent="0.2">
      <c r="A40" s="27" t="s">
        <v>7</v>
      </c>
      <c r="B40">
        <v>327</v>
      </c>
      <c r="C40">
        <v>1281.5999999999999</v>
      </c>
      <c r="D40">
        <v>8.6976369715508852</v>
      </c>
      <c r="E40">
        <v>6.2158999999999999E-2</v>
      </c>
      <c r="F40">
        <v>9.4199368952828475E-4</v>
      </c>
      <c r="G40">
        <v>3.107752498740163</v>
      </c>
      <c r="H40">
        <v>-1.2064959809828071</v>
      </c>
      <c r="I40">
        <v>-1.210216938661512</v>
      </c>
    </row>
    <row r="41" spans="1:9" x14ac:dyDescent="0.2">
      <c r="A41" s="27" t="s">
        <v>7</v>
      </c>
      <c r="B41">
        <v>393</v>
      </c>
      <c r="C41">
        <v>1852.8</v>
      </c>
      <c r="D41">
        <v>6.5959583584697272</v>
      </c>
      <c r="E41">
        <v>5.2861000000000012E-2</v>
      </c>
      <c r="F41">
        <v>4.718484926329638E-4</v>
      </c>
      <c r="G41">
        <v>3.2678285420473419</v>
      </c>
      <c r="H41">
        <v>-1.2768646253440361</v>
      </c>
      <c r="I41">
        <v>-1.280302994486789</v>
      </c>
    </row>
    <row r="42" spans="1:9" x14ac:dyDescent="0.2">
      <c r="A42" s="27" t="s">
        <v>7</v>
      </c>
      <c r="B42">
        <v>458</v>
      </c>
      <c r="C42">
        <v>2520.5</v>
      </c>
      <c r="D42">
        <v>6.5357988545140113</v>
      </c>
      <c r="E42">
        <v>4.6466E-2</v>
      </c>
      <c r="F42">
        <v>3.3239267273646157E-4</v>
      </c>
      <c r="G42">
        <v>3.4014867017741688</v>
      </c>
      <c r="H42">
        <v>-1.332864711913158</v>
      </c>
      <c r="I42">
        <v>-1.3388225146509769</v>
      </c>
    </row>
    <row r="43" spans="1:9" x14ac:dyDescent="0.2">
      <c r="A43" s="27" t="s">
        <v>7</v>
      </c>
      <c r="B43">
        <v>524</v>
      </c>
      <c r="C43">
        <v>3331.1</v>
      </c>
      <c r="D43">
        <v>13.673534859558281</v>
      </c>
      <c r="E43">
        <v>4.0835000000000003E-2</v>
      </c>
      <c r="F43">
        <v>1.570650962004112E-4</v>
      </c>
      <c r="G43">
        <v>3.5225876704565038</v>
      </c>
      <c r="H43">
        <v>-1.388967440075479</v>
      </c>
      <c r="I43">
        <v>-1.391844122858009</v>
      </c>
    </row>
    <row r="44" spans="1:9" x14ac:dyDescent="0.2">
      <c r="A44" s="27" t="s">
        <v>7</v>
      </c>
      <c r="B44">
        <v>589</v>
      </c>
      <c r="C44">
        <v>4192.1000000000004</v>
      </c>
      <c r="D44">
        <v>11.21749625461146</v>
      </c>
      <c r="E44">
        <v>3.6700999999999998E-2</v>
      </c>
      <c r="F44">
        <v>4.61266372789805E-5</v>
      </c>
      <c r="G44">
        <v>3.6224316339303919</v>
      </c>
      <c r="H44">
        <v>-1.43532210227202</v>
      </c>
      <c r="I44">
        <v>-1.4355587815494379</v>
      </c>
    </row>
    <row r="45" spans="1:9" x14ac:dyDescent="0.2">
      <c r="A45" s="27" t="s">
        <v>7</v>
      </c>
      <c r="B45">
        <v>655</v>
      </c>
      <c r="C45">
        <v>5196.1000000000004</v>
      </c>
      <c r="D45">
        <v>11.75438452474461</v>
      </c>
      <c r="E45">
        <v>3.3259999999999998E-2</v>
      </c>
      <c r="F45">
        <v>2.0275875100993919E-5</v>
      </c>
      <c r="G45">
        <v>3.715677500566942</v>
      </c>
      <c r="H45">
        <v>-1.4780777551165001</v>
      </c>
      <c r="I45">
        <v>-1.476384597077778</v>
      </c>
    </row>
    <row r="46" spans="1:9" x14ac:dyDescent="0.2">
      <c r="A46" s="27" t="s">
        <v>7</v>
      </c>
      <c r="B46">
        <v>665</v>
      </c>
      <c r="C46">
        <v>8269</v>
      </c>
      <c r="D46">
        <v>0</v>
      </c>
      <c r="E46">
        <v>2.5950000000000001E-2</v>
      </c>
      <c r="F46">
        <v>0</v>
      </c>
      <c r="G46">
        <v>3.9174529919296641</v>
      </c>
      <c r="H46">
        <v>-1.5858626378155229</v>
      </c>
      <c r="I46">
        <v>-1.564727912290055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SGT Descriptors</vt:lpstr>
      <vt:lpstr>Nodes-Edges</vt:lpstr>
      <vt:lpstr>Nodes-Degree</vt:lpstr>
      <vt:lpstr>Nodes-Diameter</vt:lpstr>
      <vt:lpstr>Nodes-G. Density</vt:lpstr>
      <vt:lpstr>Nodes-Avg. Btwn. C</vt:lpstr>
      <vt:lpstr>Nodes-Avg. EigVec. C.</vt:lpstr>
      <vt:lpstr>Nodes-Avg. Close.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Owuor, Dickson Odhiambo</dc:creator>
  <cp:lastModifiedBy>Owuor, Dickson Odhiambo</cp:lastModifiedBy>
  <dcterms:created xsi:type="dcterms:W3CDTF">2025-05-13T13:16:07Z</dcterms:created>
  <dcterms:modified xsi:type="dcterms:W3CDTF">2025-07-24T22:50:53Z</dcterms:modified>
</cp:coreProperties>
</file>